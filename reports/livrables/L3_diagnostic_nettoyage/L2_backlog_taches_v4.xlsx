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lendrier" sheetId="1" state="visible" r:id="rId1"/>
    <sheet xmlns:r="http://schemas.openxmlformats.org/officeDocument/2006/relationships" name="Gantt" sheetId="2" state="visible" r:id="rId2"/>
    <sheet xmlns:r="http://schemas.openxmlformats.org/officeDocument/2006/relationships" name="Épopées" sheetId="3" state="visible" r:id="rId3"/>
    <sheet xmlns:r="http://schemas.openxmlformats.org/officeDocument/2006/relationships" name="Backlog" sheetId="4" state="visible" r:id="rId4"/>
    <sheet xmlns:r="http://schemas.openxmlformats.org/officeDocument/2006/relationships" name="Tâches" sheetId="5" state="visible" r:id="rId5"/>
    <sheet xmlns:r="http://schemas.openxmlformats.org/officeDocument/2006/relationships" name="Changements" sheetId="6" state="visible" r:id="rId6"/>
  </sheets>
  <definedNames>
    <definedName name="_xlnm._FilterDatabase" localSheetId="3" hidden="1">'Backlog'!$A$1:$K$43</definedName>
    <definedName name="_xlnm._FilterDatabase" localSheetId="4" hidden="1">'Tâches'!$A$1:$L$212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sz val="10"/>
    </font>
    <font>
      <name val="Arial"/>
      <charset val="1"/>
      <family val="0"/>
      <b val="1"/>
      <color rgb="FFFFFFFF"/>
      <sz val="10"/>
    </font>
    <font>
      <name val="Arial"/>
      <charset val="1"/>
      <family val="0"/>
      <sz val="10"/>
    </font>
    <font>
      <name val="Arial"/>
      <charset val="1"/>
      <family val="0"/>
      <b val="1"/>
      <sz val="10"/>
    </font>
    <font>
      <name val="Cambria"/>
      <charset val="1"/>
      <family val="0"/>
      <b val="1"/>
      <color rgb="FF17332E"/>
      <sz val="16"/>
    </font>
    <font>
      <name val="Cambria"/>
      <charset val="1"/>
      <family val="0"/>
      <i val="1"/>
      <color rgb="FF5E6B68"/>
      <sz val="10"/>
    </font>
    <font>
      <name val="Cambria"/>
      <charset val="1"/>
      <family val="0"/>
      <b val="1"/>
      <color rgb="FFFFFFFF"/>
      <sz val="11"/>
    </font>
    <font>
      <name val="Cambria"/>
      <charset val="1"/>
      <family val="0"/>
      <b val="1"/>
      <color rgb="FFFFFFFF"/>
      <sz val="9"/>
    </font>
    <font>
      <name val="Cambria"/>
      <charset val="1"/>
      <family val="0"/>
      <b val="1"/>
      <color rgb="FF17332E"/>
      <sz val="11"/>
    </font>
    <font>
      <name val="Cambria"/>
      <charset val="1"/>
      <family val="0"/>
      <b val="1"/>
      <color rgb="FFE9A23B"/>
      <sz val="14"/>
    </font>
    <font>
      <name val="Cambria"/>
      <charset val="1"/>
      <family val="0"/>
      <i val="1"/>
      <color rgb="FFB5523B"/>
      <sz val="9"/>
    </font>
    <font>
      <name val="Arial"/>
      <family val="2"/>
      <sz val="10"/>
    </font>
  </fonts>
  <fills count="13">
    <fill>
      <patternFill/>
    </fill>
    <fill>
      <patternFill patternType="gray125"/>
    </fill>
    <fill>
      <patternFill patternType="solid">
        <fgColor rgb="FF1F3864"/>
        <bgColor rgb="FF17332E"/>
      </patternFill>
    </fill>
    <fill>
      <patternFill patternType="solid">
        <fgColor rgb="FFDEEAF6"/>
        <bgColor rgb="FFD9E6E1"/>
      </patternFill>
    </fill>
    <fill>
      <patternFill patternType="solid">
        <fgColor rgb="FFE2EFDA"/>
        <bgColor rgb="FFD9E6E1"/>
      </patternFill>
    </fill>
    <fill>
      <patternFill patternType="solid">
        <fgColor rgb="FFFCE4D6"/>
        <bgColor rgb="FFFFF2CC"/>
      </patternFill>
    </fill>
    <fill>
      <patternFill patternType="solid">
        <fgColor rgb="FFEDE7F6"/>
        <bgColor rgb="FFDEEAF6"/>
      </patternFill>
    </fill>
    <fill>
      <patternFill patternType="solid">
        <fgColor rgb="FF17332E"/>
        <bgColor rgb="FF1F3864"/>
      </patternFill>
    </fill>
    <fill>
      <patternFill patternType="solid">
        <fgColor rgb="FFD9E6E1"/>
        <bgColor rgb="FFD5DFDB"/>
      </patternFill>
    </fill>
    <fill>
      <patternFill patternType="solid">
        <fgColor rgb="FF2E5E55"/>
        <bgColor rgb="FF5E6B68"/>
      </patternFill>
    </fill>
    <fill>
      <patternFill patternType="solid">
        <fgColor rgb="FF7FAE9F"/>
        <bgColor rgb="FF808080"/>
      </patternFill>
    </fill>
    <fill>
      <patternFill patternType="solid">
        <fgColor rgb="FFD9D9D9"/>
        <bgColor rgb="FFD5DFDB"/>
      </patternFill>
    </fill>
    <fill>
      <patternFill patternType="solid">
        <fgColor rgb="FFFFF2CC"/>
        <b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5DFDB"/>
      </left>
      <right style="thin">
        <color rgb="FFD5DFDB"/>
      </right>
      <top style="thin">
        <color rgb="FFD5DFDB"/>
      </top>
      <bottom style="thin">
        <color rgb="FFD5DF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164" fontId="7" fillId="3" borderId="1" applyAlignment="1" pivotButton="0" quotePrefix="0" xfId="0">
      <alignment horizontal="general" vertical="top" wrapText="1"/>
    </xf>
    <xf numFmtId="0" fontId="7" fillId="3" borderId="1" applyAlignment="1" pivotButton="0" quotePrefix="0" xfId="0">
      <alignment horizontal="general" vertical="bottom"/>
    </xf>
    <xf numFmtId="0" fontId="7" fillId="4" borderId="1" applyAlignment="1" pivotButton="0" quotePrefix="0" xfId="0">
      <alignment horizontal="general" vertical="top" wrapText="1"/>
    </xf>
    <xf numFmtId="164" fontId="7" fillId="4" borderId="1" applyAlignment="1" pivotButton="0" quotePrefix="0" xfId="0">
      <alignment horizontal="general" vertical="top" wrapText="1"/>
    </xf>
    <xf numFmtId="0" fontId="7" fillId="4" borderId="1" applyAlignment="1" pivotButton="0" quotePrefix="0" xfId="0">
      <alignment horizontal="general" vertical="bottom"/>
    </xf>
    <xf numFmtId="0" fontId="7" fillId="5" borderId="1" applyAlignment="1" pivotButton="0" quotePrefix="0" xfId="0">
      <alignment horizontal="general" vertical="top" wrapText="1"/>
    </xf>
    <xf numFmtId="164" fontId="7" fillId="5" borderId="1" applyAlignment="1" pivotButton="0" quotePrefix="0" xfId="0">
      <alignment horizontal="general" vertical="top" wrapText="1"/>
    </xf>
    <xf numFmtId="0" fontId="7" fillId="5" borderId="1" applyAlignment="1" pivotButton="0" quotePrefix="0" xfId="0">
      <alignment horizontal="general" vertical="bottom"/>
    </xf>
    <xf numFmtId="0" fontId="7" fillId="6" borderId="1" applyAlignment="1" pivotButton="0" quotePrefix="0" xfId="0">
      <alignment horizontal="general" vertical="top" wrapText="1"/>
    </xf>
    <xf numFmtId="164" fontId="7" fillId="6" borderId="1" applyAlignment="1" pivotButton="0" quotePrefix="0" xfId="0">
      <alignment horizontal="general" vertical="top" wrapText="1"/>
    </xf>
    <xf numFmtId="0" fontId="7" fillId="6" borderId="1" applyAlignment="1" pivotButton="0" quotePrefix="0" xfId="0">
      <alignment horizontal="general" vertical="bottom"/>
    </xf>
    <xf numFmtId="0" fontId="8" fillId="0" borderId="0" applyAlignment="1" pivotButton="0" quotePrefix="0" xfId="0">
      <alignment horizontal="general" vertical="bottom"/>
    </xf>
    <xf numFmtId="0" fontId="8" fillId="0" borderId="1" applyAlignment="1" pivotButton="0" quotePrefix="0" xfId="0">
      <alignment horizontal="general" vertical="bottom"/>
    </xf>
    <xf numFmtId="9" fontId="8" fillId="0" borderId="1"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7" borderId="2" applyAlignment="1" pivotButton="0" quotePrefix="0" xfId="0">
      <alignment horizontal="center" vertical="center" wrapText="1"/>
    </xf>
    <xf numFmtId="0" fontId="12" fillId="7" borderId="2" applyAlignment="1" pivotButton="0" quotePrefix="0" xfId="0">
      <alignment horizontal="center" vertical="center" wrapText="1"/>
    </xf>
    <xf numFmtId="0" fontId="13" fillId="8" borderId="2" applyAlignment="1" pivotButton="0" quotePrefix="0" xfId="0">
      <alignment horizontal="general" vertical="bottom"/>
    </xf>
    <xf numFmtId="0" fontId="0" fillId="8" borderId="2" applyAlignment="1" pivotButton="0" quotePrefix="0" xfId="0">
      <alignment horizontal="center" vertical="bottom"/>
    </xf>
    <xf numFmtId="0" fontId="0" fillId="8" borderId="2" applyAlignment="1" pivotButton="0" quotePrefix="0" xfId="0">
      <alignment horizontal="general" vertical="bottom"/>
    </xf>
    <xf numFmtId="0" fontId="0" fillId="0" borderId="2" applyAlignment="1" pivotButton="0" quotePrefix="0" xfId="0">
      <alignment horizontal="general" vertical="bottom"/>
    </xf>
    <xf numFmtId="0" fontId="0" fillId="0" borderId="2" applyAlignment="1" pivotButton="0" quotePrefix="0" xfId="0">
      <alignment horizontal="center" vertical="bottom"/>
    </xf>
    <xf numFmtId="0" fontId="11" fillId="9" borderId="2" applyAlignment="1" pivotButton="0" quotePrefix="0" xfId="0">
      <alignment horizontal="center" vertical="bottom"/>
    </xf>
    <xf numFmtId="0" fontId="0" fillId="10" borderId="2" applyAlignment="1" pivotButton="0" quotePrefix="0" xfId="0">
      <alignment horizontal="general" vertical="bottom"/>
    </xf>
    <xf numFmtId="0" fontId="14" fillId="0" borderId="2" applyAlignment="1" pivotButton="0" quotePrefix="0" xfId="0">
      <alignment horizontal="center" vertical="center"/>
    </xf>
    <xf numFmtId="0" fontId="15" fillId="0" borderId="2" applyAlignment="1" pivotButton="0" quotePrefix="0" xfId="0">
      <alignment horizontal="center" vertical="bottom"/>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0" fontId="7" fillId="11" borderId="1"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7" fillId="12"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164" fontId="7" fillId="3" borderId="1" applyAlignment="1" pivotButton="0" quotePrefix="0" xfId="0">
      <alignment horizontal="general" vertical="top" wrapText="1"/>
    </xf>
    <xf numFmtId="0" fontId="7" fillId="3" borderId="1" applyAlignment="1" pivotButton="0" quotePrefix="0" xfId="0">
      <alignment horizontal="general" vertical="bottom"/>
    </xf>
    <xf numFmtId="0" fontId="7" fillId="4" borderId="1" applyAlignment="1" pivotButton="0" quotePrefix="0" xfId="0">
      <alignment horizontal="general" vertical="top" wrapText="1"/>
    </xf>
    <xf numFmtId="164" fontId="7" fillId="4" borderId="1" applyAlignment="1" pivotButton="0" quotePrefix="0" xfId="0">
      <alignment horizontal="general" vertical="top" wrapText="1"/>
    </xf>
    <xf numFmtId="0" fontId="7" fillId="4" borderId="1" applyAlignment="1" pivotButton="0" quotePrefix="0" xfId="0">
      <alignment horizontal="general" vertical="bottom"/>
    </xf>
    <xf numFmtId="0" fontId="7" fillId="5" borderId="1" applyAlignment="1" pivotButton="0" quotePrefix="0" xfId="0">
      <alignment horizontal="general" vertical="top" wrapText="1"/>
    </xf>
    <xf numFmtId="164" fontId="7" fillId="5" borderId="1" applyAlignment="1" pivotButton="0" quotePrefix="0" xfId="0">
      <alignment horizontal="general" vertical="top" wrapText="1"/>
    </xf>
    <xf numFmtId="0" fontId="7" fillId="5" borderId="1" applyAlignment="1" pivotButton="0" quotePrefix="0" xfId="0">
      <alignment horizontal="general" vertical="bottom"/>
    </xf>
    <xf numFmtId="0" fontId="7" fillId="6" borderId="1" applyAlignment="1" pivotButton="0" quotePrefix="0" xfId="0">
      <alignment horizontal="general" vertical="top" wrapText="1"/>
    </xf>
    <xf numFmtId="164" fontId="7" fillId="6" borderId="1" applyAlignment="1" pivotButton="0" quotePrefix="0" xfId="0">
      <alignment horizontal="general" vertical="top" wrapText="1"/>
    </xf>
    <xf numFmtId="0" fontId="7" fillId="6" borderId="1" applyAlignment="1" pivotButton="0" quotePrefix="0" xfId="0">
      <alignment horizontal="general" vertical="bottom"/>
    </xf>
    <xf numFmtId="0" fontId="8" fillId="0" borderId="0" applyAlignment="1" pivotButton="0" quotePrefix="0" xfId="0">
      <alignment horizontal="general" vertical="bottom"/>
    </xf>
    <xf numFmtId="0" fontId="8" fillId="0" borderId="1" applyAlignment="1" pivotButton="0" quotePrefix="0" xfId="0">
      <alignment horizontal="general" vertical="bottom"/>
    </xf>
    <xf numFmtId="9" fontId="8" fillId="0" borderId="1"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7" borderId="2" applyAlignment="1" pivotButton="0" quotePrefix="0" xfId="0">
      <alignment horizontal="center" vertical="center" wrapText="1"/>
    </xf>
    <xf numFmtId="0" fontId="12" fillId="7" borderId="2" applyAlignment="1" pivotButton="0" quotePrefix="0" xfId="0">
      <alignment horizontal="center" vertical="center" wrapText="1"/>
    </xf>
    <xf numFmtId="0" fontId="13" fillId="8" borderId="2" applyAlignment="1" pivotButton="0" quotePrefix="0" xfId="0">
      <alignment horizontal="general" vertical="bottom"/>
    </xf>
    <xf numFmtId="0" fontId="0" fillId="8" borderId="2" applyAlignment="1" pivotButton="0" quotePrefix="0" xfId="0">
      <alignment horizontal="center" vertical="bottom"/>
    </xf>
    <xf numFmtId="0" fontId="0" fillId="8" borderId="2" applyAlignment="1" pivotButton="0" quotePrefix="0" xfId="0">
      <alignment horizontal="general" vertical="bottom"/>
    </xf>
    <xf numFmtId="0" fontId="0" fillId="0" borderId="2" applyAlignment="1" pivotButton="0" quotePrefix="0" xfId="0">
      <alignment horizontal="general" vertical="bottom"/>
    </xf>
    <xf numFmtId="0" fontId="0" fillId="0" borderId="2" applyAlignment="1" pivotButton="0" quotePrefix="0" xfId="0">
      <alignment horizontal="center" vertical="bottom"/>
    </xf>
    <xf numFmtId="0" fontId="11" fillId="9" borderId="2" applyAlignment="1" pivotButton="0" quotePrefix="0" xfId="0">
      <alignment horizontal="center" vertical="bottom"/>
    </xf>
    <xf numFmtId="0" fontId="0" fillId="10" borderId="2" applyAlignment="1" pivotButton="0" quotePrefix="0" xfId="0">
      <alignment horizontal="general" vertical="bottom"/>
    </xf>
    <xf numFmtId="0" fontId="14" fillId="0" borderId="2" applyAlignment="1" pivotButton="0" quotePrefix="0" xfId="0">
      <alignment horizontal="center" vertical="center"/>
    </xf>
    <xf numFmtId="0" fontId="15" fillId="0" borderId="2" applyAlignment="1" pivotButton="0" quotePrefix="0" xfId="0">
      <alignment horizontal="center" vertical="bottom"/>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0" fontId="7" fillId="11" borderId="1" applyAlignment="1" pivotButton="0" quotePrefix="0" xfId="0">
      <alignment horizontal="general" vertical="top" wrapText="1"/>
    </xf>
    <xf numFmtId="0" fontId="7" fillId="0" borderId="0" applyAlignment="1" pivotButton="0" quotePrefix="0" xfId="0">
      <alignment horizontal="general" vertical="top" wrapText="1"/>
    </xf>
    <xf numFmtId="0" fontId="7" fillId="12"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fgColor rgb="FFDEEAF6"/>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5E55"/>
      <rgbColor rgb="FFBFBFBF"/>
      <rgbColor rgb="FF808080"/>
      <rgbColor rgb="FF9999FF"/>
      <rgbColor rgb="FFB5523B"/>
      <rgbColor rgb="FFFFF2CC"/>
      <rgbColor rgb="FFDEEA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6E1"/>
      <rgbColor rgb="FFE2EFDA"/>
      <rgbColor rgb="FFEDE7F6"/>
      <rgbColor rgb="FFD5DFDB"/>
      <rgbColor rgb="FFFF99CC"/>
      <rgbColor rgb="FFCC99FF"/>
      <rgbColor rgb="FFFCE4D6"/>
      <rgbColor rgb="FF3366FF"/>
      <rgbColor rgb="FF33CCCC"/>
      <rgbColor rgb="FF99CC00"/>
      <rgbColor rgb="FFFFCC00"/>
      <rgbColor rgb="FFE9A23B"/>
      <rgbColor rgb="FFFF6600"/>
      <rgbColor rgb="FF5E6B68"/>
      <rgbColor rgb="FF7FAE9F"/>
      <rgbColor rgb="FF1F3864"/>
      <rgbColor rgb="FF339966"/>
      <rgbColor rgb="FF003300"/>
      <rgbColor rgb="FF333300"/>
      <rgbColor rgb="FF993300"/>
      <rgbColor rgb="FF993366"/>
      <rgbColor rgb="FF333399"/>
      <rgbColor rgb="FF1733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F28" authorId="0" shapeId="0">
      <text>
        <t>Must -&gt; Could le 6 oct. 2026 : l'énoncé demande d'identifier les déterminants des retours (couvert par US19 et US21) et des modèles prédictifs de ventes (US23), pas un modèle prédictif des retours. À confirmer en équipe.</t>
      </text>
    </comment>
    <comment ref="F30" authorId="0" shapeId="0">
      <text>
        <t>Must -&gt; Could le 6 oct. 2026 : la stratégie d'optimisation demandée est couverte par US31 ; la simulation de scénarios est un complément. À confirmer en équipe.</t>
      </text>
    </comment>
    <comment ref="F32" authorId="0" shapeId="0">
      <text>
        <t>Must -&gt; Could le 6 oct. 2026 : les recommandations opérationnelles demandées sont dans US26 ; l'analyse de sensibilité et le calendrier promotionnel sont un approfondissement. À confirmer en équipe.</t>
      </text>
    </comment>
  </commentList>
</comments>
</file>

<file path=xl/comments/comment2.xml><?xml version="1.0" encoding="utf-8"?>
<comments xmlns="http://schemas.openxmlformats.org/spreadsheetml/2006/main">
  <authors>
    <author>Unknown Author</author>
  </authors>
  <commentList>
    <comment ref="I23" authorId="0" shapeId="0">
      <text>
        <t>Tâche écartée : l'évaluation de FactInventory s'est avérée inutile. La démarque n'est pas mesurable avec les données disponibles ; elle est traitée comme un paramètre de la simulation (voir Hypothèses et limites du document L1).</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J21"/>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0" min="1" max="1"/>
    <col width="14" customWidth="1" style="40" min="2" max="3"/>
    <col width="10" customWidth="1" style="40" min="4" max="4"/>
    <col width="50" customWidth="1" style="40" min="5" max="5"/>
    <col width="46" customWidth="1" style="40" min="6" max="6"/>
    <col width="14" customWidth="1" style="40" min="7" max="7"/>
    <col width="11" customWidth="1" style="40" min="8" max="8"/>
    <col width="10" customWidth="1" style="40" min="9" max="9"/>
    <col width="12" customWidth="1" style="40" min="10" max="10"/>
  </cols>
  <sheetData>
    <row r="1" ht="17.25" customHeight="1" s="41">
      <c r="A1" s="42" t="inlineStr">
        <is>
          <t>Projet 4 : Analyse des données de vente et retours</t>
        </is>
      </c>
    </row>
    <row r="2" ht="15" customHeight="1" s="41">
      <c r="A2" s="43" t="inlineStr">
        <is>
          <t>Calendrier des sprints aligné sur les dates de remise communiquées par le professeur</t>
        </is>
      </c>
    </row>
    <row r="4" ht="23.25" customHeight="1" s="41">
      <c r="A4" s="44" t="inlineStr">
        <is>
          <t>Sprint</t>
        </is>
      </c>
      <c r="B4" s="44" t="inlineStr">
        <is>
          <t>Début</t>
        </is>
      </c>
      <c r="C4" s="44" t="inlineStr">
        <is>
          <t>Fin</t>
        </is>
      </c>
      <c r="D4" s="44" t="inlineStr">
        <is>
          <t>Semaines</t>
        </is>
      </c>
      <c r="E4" s="44" t="inlineStr">
        <is>
          <t>Objectif du sprint</t>
        </is>
      </c>
      <c r="F4" s="44" t="inlineStr">
        <is>
          <t>Livrable remis</t>
        </is>
      </c>
      <c r="G4" s="44" t="inlineStr">
        <is>
          <t>Date de remise</t>
        </is>
      </c>
      <c r="H4" s="44" t="inlineStr">
        <is>
          <t>Poids dans la note</t>
        </is>
      </c>
      <c r="I4" s="44" t="inlineStr">
        <is>
          <t>Nb de tâches</t>
        </is>
      </c>
      <c r="J4" s="44" t="inlineStr">
        <is>
          <t>Charge estimée (h)</t>
        </is>
      </c>
    </row>
    <row r="5" ht="23.25" customHeight="1" s="41">
      <c r="A5" s="45" t="inlineStr">
        <is>
          <t>Sprint 0</t>
        </is>
      </c>
      <c r="B5" s="45" t="inlineStr">
        <is>
          <t>21 sept. 2026</t>
        </is>
      </c>
      <c r="C5" s="45" t="inlineStr">
        <is>
          <t>4 oct. 2026</t>
        </is>
      </c>
      <c r="D5" s="45" t="n">
        <v>2</v>
      </c>
      <c r="E5" s="45" t="inlineStr">
        <is>
          <t>Cadrage, collecte et recherche des données (dont tables de dimension), planification Scrum</t>
        </is>
      </c>
      <c r="F5" s="45" t="inlineStr">
        <is>
          <t>Livrables 1 et 2 : phases du projet et tâches granulaires + présentation PowerPoint UA1</t>
        </is>
      </c>
      <c r="G5" s="45" t="inlineStr">
        <is>
          <t>5 oct. 2026</t>
        </is>
      </c>
      <c r="H5" s="46" t="n">
        <v>0.2</v>
      </c>
      <c r="I5" s="47">
        <f>COUNTIF(Tâches!$D$2:$D$212,A5)</f>
        <v/>
      </c>
      <c r="J5" s="47">
        <f>SUMIF(Tâches!$D$2:$D$212,A5,Tâches!$G$2:$G$212)</f>
        <v/>
      </c>
    </row>
    <row r="6" ht="23.25" customHeight="1" s="41">
      <c r="A6" s="48" t="inlineStr">
        <is>
          <t>Sprint 1</t>
        </is>
      </c>
      <c r="B6" s="48" t="inlineStr">
        <is>
          <t>5 oct. 2026</t>
        </is>
      </c>
      <c r="C6" s="48" t="inlineStr">
        <is>
          <t>18 oct. 2026</t>
        </is>
      </c>
      <c r="D6" s="48" t="n">
        <v>2</v>
      </c>
      <c r="E6" s="48" t="inlineStr">
        <is>
          <t>ETL sur trois exercices (2019 à 2021) : consolidation des ventes, modèle en flocon, charges, stock et ventes en ligne détaillées, pipeline reproductible</t>
        </is>
      </c>
      <c r="F6" s="48" t="n"/>
      <c r="G6" s="48" t="n"/>
      <c r="H6" s="49" t="n"/>
      <c r="I6" s="50">
        <f>COUNTIF(Tâches!$D$2:$D$212,A6)</f>
        <v/>
      </c>
      <c r="J6" s="50">
        <f>SUMIF(Tâches!$D$2:$D$212,A6,Tâches!$G$2:$G$212)</f>
        <v/>
      </c>
    </row>
    <row r="7" ht="15" customHeight="1" s="41">
      <c r="A7" s="48" t="inlineStr">
        <is>
          <t>Sprint 2</t>
        </is>
      </c>
      <c r="B7" s="48" t="inlineStr">
        <is>
          <t>19 oct. 2026</t>
        </is>
      </c>
      <c r="C7" s="48" t="inlineStr">
        <is>
          <t>1 nov. 2026</t>
        </is>
      </c>
      <c r="D7" s="48" t="n">
        <v>2</v>
      </c>
      <c r="E7" s="48" t="inlineStr">
        <is>
          <t>Diagnostic de qualité, nettoyage et variables dérivées ; analyse Q1 (06b_q1_chute_des_ventes, 06_q1_facteurs_rentabilite)</t>
        </is>
      </c>
      <c r="F7" s="48" t="n"/>
      <c r="G7" s="48" t="n"/>
      <c r="H7" s="49" t="n"/>
      <c r="I7" s="50">
        <f>COUNTIF(Tâches!$D$2:$D$212,A7)</f>
        <v/>
      </c>
      <c r="J7" s="50">
        <f>SUMIF(Tâches!$D$2:$D$212,A7,Tâches!$G$2:$G$212)</f>
        <v/>
      </c>
    </row>
    <row r="8" ht="23.25" customHeight="1" s="41">
      <c r="A8" s="48" t="inlineStr">
        <is>
          <t>Sprint 3</t>
        </is>
      </c>
      <c r="B8" s="48" t="inlineStr">
        <is>
          <t>2 nov. 2026</t>
        </is>
      </c>
      <c r="C8" s="48" t="inlineStr">
        <is>
          <t>8 nov. 2026</t>
        </is>
      </c>
      <c r="D8" s="48" t="n">
        <v>1</v>
      </c>
      <c r="E8" s="48" t="inlineStr">
        <is>
          <t>Analyse Q2 à Q5 (07, 08, 09), rapport L3 + L4 et présentation UA2</t>
        </is>
      </c>
      <c r="F8" s="48" t="inlineStr">
        <is>
          <t>Livrable 3 : diagnostic, nettoyage et transformation, avec l'analyse exploratoire de Q1 à Q5 faite en avance (présentation UA2)</t>
        </is>
      </c>
      <c r="G8" s="48" t="inlineStr">
        <is>
          <t>9 nov. 2026</t>
        </is>
      </c>
      <c r="H8" s="49" t="n">
        <v>0.25</v>
      </c>
      <c r="I8" s="50">
        <f>COUNTIF(Tâches!$D$2:$D$212,A8)</f>
        <v/>
      </c>
      <c r="J8" s="50">
        <f>SUMIF(Tâches!$D$2:$D$212,A8,Tâches!$G$2:$G$212)</f>
        <v/>
      </c>
    </row>
    <row r="9" ht="23.25" customHeight="1" s="41">
      <c r="A9" s="51" t="inlineStr">
        <is>
          <t>Sprint 4</t>
        </is>
      </c>
      <c r="B9" s="51" t="inlineStr">
        <is>
          <t>9 nov. 2026</t>
        </is>
      </c>
      <c r="C9" s="51" t="inlineStr">
        <is>
          <t>22 nov. 2026</t>
        </is>
      </c>
      <c r="D9" s="51" t="n">
        <v>2</v>
      </c>
      <c r="E9" s="51" t="inlineStr">
        <is>
          <t>Prédictif et exploratoire : 10_prevision_ventes (régression), 11_grands_comptes (classification), 12_typologie_magasins (clustering)</t>
        </is>
      </c>
      <c r="F9" s="51" t="n"/>
      <c r="G9" s="51" t="n"/>
      <c r="H9" s="52" t="n"/>
      <c r="I9" s="53">
        <f>COUNTIF(Tâches!$D$2:$D$212,A9)</f>
        <v/>
      </c>
      <c r="J9" s="53">
        <f>SUMIF(Tâches!$D$2:$D$212,A9,Tâches!$G$2:$G$212)</f>
        <v/>
      </c>
    </row>
    <row r="10" ht="34.5" customHeight="1" s="41">
      <c r="A10" s="51" t="inlineStr">
        <is>
          <t>Sprint 5</t>
        </is>
      </c>
      <c r="B10" s="51" t="inlineStr">
        <is>
          <t>23 nov. 2026</t>
        </is>
      </c>
      <c r="C10" s="51" t="inlineStr">
        <is>
          <t>6 déc. 2026</t>
        </is>
      </c>
      <c r="D10" s="51" t="n">
        <v>2</v>
      </c>
      <c r="E10" s="51" t="inlineStr">
        <is>
          <t>Prescriptif : 13_priorites_renouvellement (optimisation sous budget d'achat), 14_simulateur (recherche aléatoire et Monte-Carlo) ; application Streamlit (tableau de bord et simulateur), Power BI en option (Could) ; rapport et présentation UA3</t>
        </is>
      </c>
      <c r="F10" s="51" t="inlineStr">
        <is>
          <t>Livrable 4 : modèles prédictifs et prescriptifs, application Streamlit, rapport et présentation (l'analyse exploratoire est remise avec le livrable 3)</t>
        </is>
      </c>
      <c r="G10" s="51" t="inlineStr">
        <is>
          <t>7 déc. 2026</t>
        </is>
      </c>
      <c r="H10" s="52" t="n">
        <v>0.35</v>
      </c>
      <c r="I10" s="53">
        <f>COUNTIF(Tâches!$D$2:$D$212,A10)</f>
        <v/>
      </c>
      <c r="J10" s="53">
        <f>SUMIF(Tâches!$D$2:$D$212,A10,Tâches!$G$2:$G$212)</f>
        <v/>
      </c>
    </row>
    <row r="11" ht="23.25" customHeight="1" s="41">
      <c r="A11" s="54" t="inlineStr">
        <is>
          <t>Sprint 6</t>
        </is>
      </c>
      <c r="B11" s="54" t="inlineStr">
        <is>
          <t>7 déc. 2026</t>
        </is>
      </c>
      <c r="C11" s="54" t="inlineStr">
        <is>
          <t>13 déc. 2026</t>
        </is>
      </c>
      <c r="D11" s="54" t="n">
        <v>1</v>
      </c>
      <c r="E11" s="54" t="inlineStr">
        <is>
          <t>Recommandations opérationnelles, plan d'essais des leviers incertains (section du rapport), rapport final</t>
        </is>
      </c>
      <c r="F11" s="54" t="inlineStr">
        <is>
          <t>Livrable 5 : rapport final avec recommandations opérationnelles</t>
        </is>
      </c>
      <c r="G11" s="54" t="inlineStr">
        <is>
          <t>14 déc. 2026</t>
        </is>
      </c>
      <c r="H11" s="55" t="n">
        <v>0.2</v>
      </c>
      <c r="I11" s="56">
        <f>COUNTIF(Tâches!$D$2:$D$212,A11)</f>
        <v/>
      </c>
      <c r="J11" s="56">
        <f>SUMIF(Tâches!$D$2:$D$212,A11,Tâches!$G$2:$G$212)</f>
        <v/>
      </c>
    </row>
    <row r="12" ht="15" customHeight="1" s="41">
      <c r="A12" s="57" t="inlineStr">
        <is>
          <t>Total</t>
        </is>
      </c>
      <c r="D12" s="58">
        <f>SUM(D5:D11)</f>
        <v/>
      </c>
      <c r="H12" s="59">
        <f>SUM(H5:H11)</f>
        <v/>
      </c>
      <c r="I12" s="58">
        <f>SUM(I5:I11)</f>
        <v/>
      </c>
      <c r="J12" s="58">
        <f>SUM(J5:J11)</f>
        <v/>
      </c>
    </row>
    <row r="14" ht="15" customHeight="1" s="41">
      <c r="A14" s="57" t="inlineStr">
        <is>
          <t>Hypothèses :</t>
        </is>
      </c>
    </row>
    <row r="15" ht="15" customHeight="1" s="41">
      <c r="A15" s="60" t="inlineStr">
        <is>
          <t>1. La présentation PowerPoint UA1 correspond au premier jalon (phases et tâches granulaires, remise du 5 octobre). À ajuster si l'UA1 a une autre date.</t>
        </is>
      </c>
    </row>
    <row r="16" ht="15" customHeight="1" s="41">
      <c r="A16" s="60" t="inlineStr">
        <is>
          <t>2. Source vérifiée : les données fournies correspondent à FactSales de Contoso Retail DW (2008-2009, dates décalées de 12 ans). Utilisation des tables de dimension sous réserve de validation par le professeur. Les fichiers fournis couvrent 5 catégories de produits sur 8 et les trimestres 1 à 3. Depuis le 6 octobre, avec l'accord du professeur, le projet travaille sur les ventes complètes des 56 boutiques (8 catégories, 8 trimestres), extraites de Contoso.</t>
        </is>
      </c>
    </row>
    <row r="17" ht="15" customHeight="1" s="41">
      <c r="A17" s="60" t="inlineStr">
        <is>
          <t>3. Les remises tombent un lundi : chaque sprint se termine le dimanche précédent.</t>
        </is>
      </c>
    </row>
    <row r="18" ht="15" customHeight="1" s="41">
      <c r="A18" s="60" t="inlineStr">
        <is>
          <t>4. Outils : Python et ses bibliothèques pour l'ETL, l'analyse, la modélisation et l'optimisation ; Streamlit pour le tableau de bord et le simulateur ; Power BI en option ; PowerPoint pour les présentations.</t>
        </is>
      </c>
    </row>
    <row r="19" ht="15" customHeight="1" s="41">
      <c r="A19" s="60" t="inlineStr">
        <is>
          <t>Colonnes à remplir dans l'onglet Tâches (fond jaune) : Responsable et Statut.</t>
        </is>
      </c>
    </row>
    <row r="20" ht="15" customHeight="1" s="41">
      <c r="A20" s="60" t="inlineStr">
        <is>
          <t>Mise à jour du 7 oct. 2026 : les analyses Q1 à Q5 (notebooks 06 à 09) sont terminées en avance. Les sprints et les dates de remise ne changent pas. Le contenu des sprints 5 et 6 est réorienté (onglet Changements).</t>
        </is>
      </c>
    </row>
    <row r="21">
      <c r="A21" s="40" t="inlineStr">
        <is>
          <t>Mise à jour du 8 oct. 2026 : planning revu. L'ETL et l'analyse (Q1 à Q5) restent planifiés jusqu'au 8 novembre, alignés sur la remise du livrable 3 (présentation UA2), même si l'équipe a de l'avance. Les sprints 4 à 6 portent sur les notebooks 10 à 14 et l'application Streamlit. Les dates de remise ne changent pas. Les user stories et les tâches seront mises à jour au fil de l'avancement.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Q2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54" customWidth="1" style="40" min="1" max="1"/>
    <col width="15" customWidth="1" style="40" min="2" max="3"/>
    <col width="9" customWidth="1" style="40" min="4" max="4"/>
    <col width="9.52" customWidth="1" style="40" min="5" max="17"/>
  </cols>
  <sheetData>
    <row r="1" ht="19.5" customHeight="1" s="41">
      <c r="A1" s="61" t="inlineStr">
        <is>
          <t>Diagramme de Gantt du projet</t>
        </is>
      </c>
    </row>
    <row r="2" ht="15" customHeight="1" s="41">
      <c r="A2" s="62" t="inlineStr">
        <is>
          <t>Une colonne par semaine (du lundi au dimanche). Barres vertes : sprints. Barres claires : épopées actives pendant le sprint. Losange orange : remise d'un livrable.</t>
        </is>
      </c>
    </row>
    <row r="4" ht="31.5" customHeight="1" s="41">
      <c r="A4" s="63" t="inlineStr">
        <is>
          <t>Élément</t>
        </is>
      </c>
      <c r="B4" s="63" t="inlineStr">
        <is>
          <t>Début</t>
        </is>
      </c>
      <c r="C4" s="63" t="inlineStr">
        <is>
          <t>Fin</t>
        </is>
      </c>
      <c r="D4" s="63" t="inlineStr">
        <is>
          <t>Durée (sem.)</t>
        </is>
      </c>
      <c r="E4" s="64" t="inlineStr">
        <is>
          <t>Sem. 1
21 sept.</t>
        </is>
      </c>
      <c r="F4" s="64" t="inlineStr">
        <is>
          <t>Sem. 2
28 sept.</t>
        </is>
      </c>
      <c r="G4" s="64" t="inlineStr">
        <is>
          <t>Sem. 3
5 oct.</t>
        </is>
      </c>
      <c r="H4" s="64" t="inlineStr">
        <is>
          <t>Sem. 4
12 oct.</t>
        </is>
      </c>
      <c r="I4" s="64" t="inlineStr">
        <is>
          <t>Sem. 5
19 oct.</t>
        </is>
      </c>
      <c r="J4" s="64" t="inlineStr">
        <is>
          <t>Sem. 6
26 oct.</t>
        </is>
      </c>
      <c r="K4" s="64" t="inlineStr">
        <is>
          <t>Sem. 7
2 nov.</t>
        </is>
      </c>
      <c r="L4" s="64" t="inlineStr">
        <is>
          <t>Sem. 8
9 nov.</t>
        </is>
      </c>
      <c r="M4" s="64" t="inlineStr">
        <is>
          <t>Sem. 9
16 nov.</t>
        </is>
      </c>
      <c r="N4" s="64" t="inlineStr">
        <is>
          <t>Sem. 10
23 nov.</t>
        </is>
      </c>
      <c r="O4" s="64" t="inlineStr">
        <is>
          <t>Sem. 11
30 nov.</t>
        </is>
      </c>
      <c r="P4" s="64" t="inlineStr">
        <is>
          <t>Sem. 12
7 déc.</t>
        </is>
      </c>
      <c r="Q4" s="64" t="inlineStr">
        <is>
          <t>Sem. 13
14 déc.</t>
        </is>
      </c>
    </row>
    <row r="5" ht="15" customHeight="1" s="41">
      <c r="A5" s="65" t="inlineStr">
        <is>
          <t>SPRINTS</t>
        </is>
      </c>
      <c r="B5" s="66" t="n"/>
      <c r="C5" s="66" t="n"/>
      <c r="D5" s="66" t="n"/>
      <c r="E5" s="67" t="n"/>
      <c r="F5" s="67" t="n"/>
      <c r="G5" s="67" t="n"/>
      <c r="H5" s="67" t="n"/>
      <c r="I5" s="67" t="n"/>
      <c r="J5" s="67" t="n"/>
      <c r="K5" s="67" t="n"/>
      <c r="L5" s="67" t="n"/>
      <c r="M5" s="67" t="n"/>
      <c r="N5" s="67" t="n"/>
      <c r="O5" s="67" t="n"/>
      <c r="P5" s="67" t="n"/>
      <c r="Q5" s="67" t="n"/>
    </row>
    <row r="6" ht="15" customHeight="1" s="41">
      <c r="A6" s="68" t="inlineStr">
        <is>
          <t>Sprint 0 · Cadrage, collecte et recherche de données</t>
        </is>
      </c>
      <c r="B6" s="69" t="inlineStr">
        <is>
          <t>21 sept. 2026</t>
        </is>
      </c>
      <c r="C6" s="69" t="inlineStr">
        <is>
          <t>4 oct. 2026</t>
        </is>
      </c>
      <c r="D6" s="69" t="n">
        <v>2</v>
      </c>
      <c r="E6" s="70" t="inlineStr">
        <is>
          <t>Sprint 0</t>
        </is>
      </c>
      <c r="F6" s="70" t="n"/>
      <c r="G6" s="68" t="n"/>
      <c r="H6" s="68" t="n"/>
      <c r="I6" s="68" t="n"/>
      <c r="J6" s="68" t="n"/>
      <c r="K6" s="68" t="n"/>
      <c r="L6" s="68" t="n"/>
      <c r="M6" s="68" t="n"/>
      <c r="N6" s="68" t="n"/>
      <c r="O6" s="68" t="n"/>
      <c r="P6" s="68" t="n"/>
      <c r="Q6" s="68" t="n"/>
    </row>
    <row r="7" ht="15" customHeight="1" s="41">
      <c r="A7" s="68" t="inlineStr">
        <is>
          <t>Sprint 1 · ETL sur trois exercices et modèle de données</t>
        </is>
      </c>
      <c r="B7" s="69" t="inlineStr">
        <is>
          <t>5 oct. 2026</t>
        </is>
      </c>
      <c r="C7" s="69" t="inlineStr">
        <is>
          <t>18 oct. 2026</t>
        </is>
      </c>
      <c r="D7" s="69" t="n">
        <v>2</v>
      </c>
      <c r="E7" s="68" t="n"/>
      <c r="F7" s="68" t="n"/>
      <c r="G7" s="70" t="inlineStr">
        <is>
          <t>Sprint 1</t>
        </is>
      </c>
      <c r="H7" s="70" t="n"/>
      <c r="I7" s="68" t="n"/>
      <c r="J7" s="68" t="n"/>
      <c r="K7" s="68" t="n"/>
      <c r="L7" s="68" t="n"/>
      <c r="M7" s="68" t="n"/>
      <c r="N7" s="68" t="n"/>
      <c r="O7" s="68" t="n"/>
      <c r="P7" s="68" t="n"/>
      <c r="Q7" s="68" t="n"/>
    </row>
    <row r="8" ht="15" customHeight="1" s="41">
      <c r="A8" s="68" t="inlineStr">
        <is>
          <t>Sprint 2 · Diagnostic, nettoyage, variables et analyse Q1</t>
        </is>
      </c>
      <c r="B8" s="69" t="inlineStr">
        <is>
          <t>19 oct. 2026</t>
        </is>
      </c>
      <c r="C8" s="69" t="inlineStr">
        <is>
          <t>1 nov. 2026</t>
        </is>
      </c>
      <c r="D8" s="69" t="n">
        <v>2</v>
      </c>
      <c r="E8" s="68" t="n"/>
      <c r="F8" s="68" t="n"/>
      <c r="G8" s="68" t="n"/>
      <c r="H8" s="68" t="n"/>
      <c r="I8" s="70" t="inlineStr">
        <is>
          <t>Sprint 2</t>
        </is>
      </c>
      <c r="J8" s="70" t="n"/>
      <c r="K8" s="68" t="n"/>
      <c r="L8" s="68" t="n"/>
      <c r="M8" s="68" t="n"/>
      <c r="N8" s="68" t="n"/>
      <c r="O8" s="68" t="n"/>
      <c r="P8" s="68" t="n"/>
      <c r="Q8" s="68" t="n"/>
    </row>
    <row r="9" ht="15" customHeight="1" s="41">
      <c r="A9" s="68" t="inlineStr">
        <is>
          <t>Sprint 3 · Analyse Q2 à Q5, rapport et présentation UA2</t>
        </is>
      </c>
      <c r="B9" s="69" t="inlineStr">
        <is>
          <t>2 nov. 2026</t>
        </is>
      </c>
      <c r="C9" s="69" t="inlineStr">
        <is>
          <t>8 nov. 2026</t>
        </is>
      </c>
      <c r="D9" s="69" t="n">
        <v>1</v>
      </c>
      <c r="E9" s="68" t="n"/>
      <c r="F9" s="68" t="n"/>
      <c r="G9" s="68" t="n"/>
      <c r="H9" s="68" t="n"/>
      <c r="I9" s="68" t="n"/>
      <c r="J9" s="68" t="n"/>
      <c r="K9" s="70" t="inlineStr">
        <is>
          <t>Sprint 3</t>
        </is>
      </c>
      <c r="L9" s="68" t="n"/>
      <c r="M9" s="68" t="n"/>
      <c r="N9" s="68" t="n"/>
      <c r="O9" s="68" t="n"/>
      <c r="P9" s="68" t="n"/>
      <c r="Q9" s="68" t="n"/>
    </row>
    <row r="10" ht="15" customHeight="1" s="41">
      <c r="A10" s="68" t="inlineStr">
        <is>
          <t>Sprint 4 · Prévision, grands comptes, typologie (10, 11, 12)</t>
        </is>
      </c>
      <c r="B10" s="69" t="inlineStr">
        <is>
          <t>9 nov. 2026</t>
        </is>
      </c>
      <c r="C10" s="69" t="inlineStr">
        <is>
          <t>22 nov. 2026</t>
        </is>
      </c>
      <c r="D10" s="69" t="n">
        <v>2</v>
      </c>
      <c r="E10" s="68" t="n"/>
      <c r="F10" s="68" t="n"/>
      <c r="G10" s="68" t="n"/>
      <c r="H10" s="68" t="n"/>
      <c r="I10" s="68" t="n"/>
      <c r="J10" s="68" t="n"/>
      <c r="K10" s="68" t="n"/>
      <c r="L10" s="70" t="inlineStr">
        <is>
          <t>Sprint 4</t>
        </is>
      </c>
      <c r="M10" s="70" t="n"/>
      <c r="N10" s="68" t="n"/>
      <c r="O10" s="68" t="n"/>
      <c r="P10" s="68" t="n"/>
      <c r="Q10" s="68" t="n"/>
    </row>
    <row r="11" ht="15" customHeight="1" s="41">
      <c r="A11" s="68" t="inlineStr">
        <is>
          <t>Sprint 5 · Renouvellement, simulateur, Streamlit (13, 14), rapport UA3</t>
        </is>
      </c>
      <c r="B11" s="69" t="inlineStr">
        <is>
          <t>23 nov. 2026</t>
        </is>
      </c>
      <c r="C11" s="69" t="inlineStr">
        <is>
          <t>6 déc. 2026</t>
        </is>
      </c>
      <c r="D11" s="69" t="n">
        <v>2</v>
      </c>
      <c r="E11" s="68" t="n"/>
      <c r="F11" s="68" t="n"/>
      <c r="G11" s="68" t="n"/>
      <c r="H11" s="68" t="n"/>
      <c r="I11" s="68" t="n"/>
      <c r="J11" s="68" t="n"/>
      <c r="K11" s="68" t="n"/>
      <c r="L11" s="68" t="n"/>
      <c r="M11" s="68" t="n"/>
      <c r="N11" s="70" t="inlineStr">
        <is>
          <t>Sprint 5</t>
        </is>
      </c>
      <c r="O11" s="70" t="n"/>
      <c r="P11" s="68" t="n"/>
      <c r="Q11" s="68" t="n"/>
    </row>
    <row r="12" ht="15" customHeight="1" s="41">
      <c r="A12" s="68" t="inlineStr">
        <is>
          <t>Sprint 6 · Recommandations, plan d'essais et rapport final</t>
        </is>
      </c>
      <c r="B12" s="69" t="inlineStr">
        <is>
          <t>7 déc. 2026</t>
        </is>
      </c>
      <c r="C12" s="69" t="inlineStr">
        <is>
          <t>13 déc. 2026</t>
        </is>
      </c>
      <c r="D12" s="69" t="n">
        <v>1</v>
      </c>
      <c r="E12" s="68" t="n"/>
      <c r="F12" s="68" t="n"/>
      <c r="G12" s="68" t="n"/>
      <c r="H12" s="68" t="n"/>
      <c r="I12" s="68" t="n"/>
      <c r="J12" s="68" t="n"/>
      <c r="K12" s="68" t="n"/>
      <c r="L12" s="68" t="n"/>
      <c r="M12" s="68" t="n"/>
      <c r="N12" s="68" t="n"/>
      <c r="O12" s="68" t="n"/>
      <c r="P12" s="70" t="inlineStr">
        <is>
          <t>Sprint 6</t>
        </is>
      </c>
      <c r="Q12" s="68" t="n"/>
    </row>
    <row r="13" ht="15" customHeight="1" s="41">
      <c r="A13" s="65" t="inlineStr">
        <is>
          <t>ÉPOPÉES (sprints où l'épopée a des tâches)</t>
        </is>
      </c>
      <c r="B13" s="66" t="n"/>
      <c r="C13" s="66" t="n"/>
      <c r="D13" s="66" t="n"/>
      <c r="E13" s="67" t="n"/>
      <c r="F13" s="67" t="n"/>
      <c r="G13" s="67" t="n"/>
      <c r="H13" s="67" t="n"/>
      <c r="I13" s="67" t="n"/>
      <c r="J13" s="67" t="n"/>
      <c r="K13" s="67" t="n"/>
      <c r="L13" s="67" t="n"/>
      <c r="M13" s="67" t="n"/>
      <c r="N13" s="67" t="n"/>
      <c r="O13" s="67" t="n"/>
      <c r="P13" s="67" t="n"/>
      <c r="Q13" s="67" t="n"/>
    </row>
    <row r="14" ht="15" customHeight="1" s="41">
      <c r="A14" s="68" t="inlineStr">
        <is>
          <t>E0 Gestion de projet Scrum</t>
        </is>
      </c>
      <c r="B14" s="69" t="inlineStr">
        <is>
          <t>21 sept. 2026</t>
        </is>
      </c>
      <c r="C14" s="69" t="inlineStr">
        <is>
          <t>13 déc. 2026</t>
        </is>
      </c>
      <c r="D14" s="69" t="n">
        <v>12</v>
      </c>
      <c r="E14" s="71" t="n"/>
      <c r="F14" s="71" t="n"/>
      <c r="G14" s="71" t="n"/>
      <c r="H14" s="71" t="n"/>
      <c r="I14" s="71" t="n"/>
      <c r="J14" s="71" t="n"/>
      <c r="K14" s="71" t="n"/>
      <c r="L14" s="71" t="n"/>
      <c r="M14" s="71" t="n"/>
      <c r="N14" s="71" t="n"/>
      <c r="O14" s="71" t="n"/>
      <c r="P14" s="71" t="n"/>
      <c r="Q14" s="68" t="n"/>
    </row>
    <row r="15" ht="15" customHeight="1" s="41">
      <c r="A15" s="68" t="inlineStr">
        <is>
          <t>E1 Collecte et recherche de données</t>
        </is>
      </c>
      <c r="B15" s="69" t="inlineStr">
        <is>
          <t>21 sept. 2026</t>
        </is>
      </c>
      <c r="C15" s="69" t="inlineStr">
        <is>
          <t>4 oct. 2026</t>
        </is>
      </c>
      <c r="D15" s="69" t="n">
        <v>2</v>
      </c>
      <c r="E15" s="71" t="n"/>
      <c r="F15" s="71" t="n"/>
      <c r="G15" s="68" t="n"/>
      <c r="H15" s="68" t="n"/>
      <c r="I15" s="68" t="n"/>
      <c r="J15" s="68" t="n"/>
      <c r="K15" s="68" t="n"/>
      <c r="L15" s="68" t="n"/>
      <c r="M15" s="68" t="n"/>
      <c r="N15" s="68" t="n"/>
      <c r="O15" s="68" t="n"/>
      <c r="P15" s="68" t="n"/>
      <c r="Q15" s="68" t="n"/>
    </row>
    <row r="16" ht="15" customHeight="1" s="41">
      <c r="A16" s="68" t="inlineStr">
        <is>
          <t>E2 Intégration et modélisation (ETL)</t>
        </is>
      </c>
      <c r="B16" s="69" t="inlineStr">
        <is>
          <t>21 sept. 2026</t>
        </is>
      </c>
      <c r="C16" s="69" t="inlineStr">
        <is>
          <t>18 oct. 2026</t>
        </is>
      </c>
      <c r="D16" s="69" t="n">
        <v>4</v>
      </c>
      <c r="E16" s="71" t="n"/>
      <c r="F16" s="71" t="n"/>
      <c r="G16" s="71" t="n"/>
      <c r="H16" s="71" t="n"/>
      <c r="I16" s="68" t="n"/>
      <c r="J16" s="68" t="n"/>
      <c r="K16" s="68" t="n"/>
      <c r="L16" s="68" t="n"/>
      <c r="M16" s="68" t="n"/>
      <c r="N16" s="68" t="n"/>
      <c r="O16" s="68" t="n"/>
      <c r="P16" s="68" t="n"/>
      <c r="Q16" s="68" t="n"/>
    </row>
    <row r="17" ht="15" customHeight="1" s="41">
      <c r="A17" s="68" t="inlineStr">
        <is>
          <t>E3 Qualité et nettoyage</t>
        </is>
      </c>
      <c r="B17" s="69" t="inlineStr">
        <is>
          <t>19 oct. 2026</t>
        </is>
      </c>
      <c r="C17" s="69" t="inlineStr">
        <is>
          <t>1 nov. 2026</t>
        </is>
      </c>
      <c r="D17" s="69" t="n">
        <v>2</v>
      </c>
      <c r="E17" s="68" t="n"/>
      <c r="F17" s="68" t="n"/>
      <c r="G17" s="68" t="n"/>
      <c r="H17" s="68" t="n"/>
      <c r="I17" s="71" t="n"/>
      <c r="J17" s="71" t="n"/>
      <c r="K17" s="68" t="n"/>
      <c r="L17" s="68" t="n"/>
      <c r="M17" s="68" t="n"/>
      <c r="N17" s="68" t="n"/>
      <c r="O17" s="68" t="n"/>
      <c r="P17" s="68" t="n"/>
      <c r="Q17" s="68" t="n"/>
    </row>
    <row r="18" ht="15" customHeight="1" s="41">
      <c r="A18" s="68" t="inlineStr">
        <is>
          <t>E4 Transformation et variables dérivées</t>
        </is>
      </c>
      <c r="B18" s="69" t="inlineStr">
        <is>
          <t>2 nov. 2026</t>
        </is>
      </c>
      <c r="C18" s="69" t="inlineStr">
        <is>
          <t>8 nov. 2026</t>
        </is>
      </c>
      <c r="D18" s="69" t="n">
        <v>1</v>
      </c>
      <c r="E18" s="68" t="n"/>
      <c r="F18" s="68" t="n"/>
      <c r="G18" s="68" t="n"/>
      <c r="H18" s="68" t="n"/>
      <c r="I18" s="68" t="n"/>
      <c r="J18" s="68" t="n"/>
      <c r="K18" s="71" t="n"/>
      <c r="L18" s="68" t="n"/>
      <c r="M18" s="68" t="n"/>
      <c r="N18" s="68" t="n"/>
      <c r="O18" s="68" t="n"/>
      <c r="P18" s="68" t="n"/>
      <c r="Q18" s="68" t="n"/>
    </row>
    <row r="19" ht="15" customHeight="1" s="41">
      <c r="A19" s="68" t="inlineStr">
        <is>
          <t>E5 Analyse exploratoire (Q1 à Q5)</t>
        </is>
      </c>
      <c r="B19" s="69" t="inlineStr">
        <is>
          <t>9 nov. 2026</t>
        </is>
      </c>
      <c r="C19" s="69" t="inlineStr">
        <is>
          <t>6 déc. 2026</t>
        </is>
      </c>
      <c r="D19" s="69" t="n">
        <v>4</v>
      </c>
      <c r="E19" s="68" t="n"/>
      <c r="F19" s="68" t="n"/>
      <c r="G19" s="68" t="n"/>
      <c r="H19" s="68" t="n"/>
      <c r="I19" s="68" t="n"/>
      <c r="J19" s="68" t="n"/>
      <c r="K19" s="68" t="n"/>
      <c r="L19" s="71" t="n"/>
      <c r="M19" s="71" t="n"/>
      <c r="N19" s="71" t="n"/>
      <c r="O19" s="71" t="n"/>
      <c r="P19" s="68" t="n"/>
      <c r="Q19" s="68" t="n"/>
    </row>
    <row r="20" ht="15" customHeight="1" s="41">
      <c r="A20" s="68" t="inlineStr">
        <is>
          <t>E6 Modélisation prédictive</t>
        </is>
      </c>
      <c r="B20" s="69" t="inlineStr">
        <is>
          <t>9 nov. 2026</t>
        </is>
      </c>
      <c r="C20" s="69" t="inlineStr">
        <is>
          <t>6 déc. 2026</t>
        </is>
      </c>
      <c r="D20" s="69" t="n">
        <v>4</v>
      </c>
      <c r="E20" s="68" t="n"/>
      <c r="F20" s="68" t="n"/>
      <c r="G20" s="68" t="n"/>
      <c r="H20" s="68" t="n"/>
      <c r="I20" s="68" t="n"/>
      <c r="J20" s="68" t="n"/>
      <c r="K20" s="68" t="n"/>
      <c r="L20" s="71" t="n"/>
      <c r="M20" s="71" t="n"/>
      <c r="N20" s="71" t="n"/>
      <c r="O20" s="71" t="n"/>
      <c r="P20" s="68" t="n"/>
      <c r="Q20" s="68" t="n"/>
    </row>
    <row r="21" ht="15" customHeight="1" s="41">
      <c r="A21" s="68" t="inlineStr">
        <is>
          <t>E7 Tableaux de bord</t>
        </is>
      </c>
      <c r="B21" s="69" t="inlineStr">
        <is>
          <t>9 nov. 2026</t>
        </is>
      </c>
      <c r="C21" s="69" t="inlineStr">
        <is>
          <t>6 déc. 2026</t>
        </is>
      </c>
      <c r="D21" s="69" t="n">
        <v>4</v>
      </c>
      <c r="E21" s="68" t="n"/>
      <c r="F21" s="68" t="n"/>
      <c r="G21" s="68" t="n"/>
      <c r="H21" s="68" t="n"/>
      <c r="I21" s="68" t="n"/>
      <c r="J21" s="68" t="n"/>
      <c r="K21" s="68" t="n"/>
      <c r="L21" s="71" t="n"/>
      <c r="M21" s="71" t="n"/>
      <c r="N21" s="71" t="n"/>
      <c r="O21" s="71" t="n"/>
      <c r="P21" s="68" t="n"/>
      <c r="Q21" s="68" t="n"/>
    </row>
    <row r="22" ht="15" customHeight="1" s="41">
      <c r="A22" s="68" t="inlineStr">
        <is>
          <t>E8 Documentation et livrables</t>
        </is>
      </c>
      <c r="B22" s="69" t="inlineStr">
        <is>
          <t>21 sept. 2026</t>
        </is>
      </c>
      <c r="C22" s="69" t="inlineStr">
        <is>
          <t>13 déc. 2026</t>
        </is>
      </c>
      <c r="D22" s="69" t="n">
        <v>6</v>
      </c>
      <c r="E22" s="71" t="n"/>
      <c r="F22" s="71" t="n"/>
      <c r="G22" s="68" t="n"/>
      <c r="H22" s="68" t="n"/>
      <c r="I22" s="68" t="n"/>
      <c r="J22" s="68" t="n"/>
      <c r="K22" s="71" t="n"/>
      <c r="L22" s="68" t="n"/>
      <c r="M22" s="68" t="n"/>
      <c r="N22" s="71" t="n"/>
      <c r="O22" s="71" t="n"/>
      <c r="P22" s="71" t="n"/>
      <c r="Q22" s="68" t="n"/>
    </row>
    <row r="23" ht="15" customHeight="1" s="41">
      <c r="A23" s="68" t="inlineStr">
        <is>
          <t>E9 Analyse prescriptive</t>
        </is>
      </c>
      <c r="B23" s="69" t="inlineStr">
        <is>
          <t>23 nov. 2026</t>
        </is>
      </c>
      <c r="C23" s="69" t="inlineStr">
        <is>
          <t>13 déc. 2026</t>
        </is>
      </c>
      <c r="D23" s="69" t="n">
        <v>3</v>
      </c>
      <c r="E23" s="68" t="n"/>
      <c r="F23" s="68" t="n"/>
      <c r="G23" s="68" t="n"/>
      <c r="H23" s="68" t="n"/>
      <c r="I23" s="68" t="n"/>
      <c r="J23" s="68" t="n"/>
      <c r="K23" s="68" t="n"/>
      <c r="L23" s="68" t="n"/>
      <c r="M23" s="68" t="n"/>
      <c r="N23" s="71" t="n"/>
      <c r="O23" s="71" t="n"/>
      <c r="P23" s="71" t="n"/>
      <c r="Q23" s="68" t="n"/>
    </row>
    <row r="24" ht="15" customHeight="1" s="41">
      <c r="A24" s="65" t="inlineStr">
        <is>
          <t>LIVRABLES (remise le lundi)</t>
        </is>
      </c>
      <c r="B24" s="66" t="n"/>
      <c r="C24" s="66" t="n"/>
      <c r="D24" s="66" t="n"/>
      <c r="E24" s="67" t="n"/>
      <c r="F24" s="67" t="n"/>
      <c r="G24" s="67" t="n"/>
      <c r="H24" s="67" t="n"/>
      <c r="I24" s="67" t="n"/>
      <c r="J24" s="67" t="n"/>
      <c r="K24" s="67" t="n"/>
      <c r="L24" s="67" t="n"/>
      <c r="M24" s="67" t="n"/>
      <c r="N24" s="67" t="n"/>
      <c r="O24" s="67" t="n"/>
      <c r="P24" s="67" t="n"/>
      <c r="Q24" s="67" t="n"/>
    </row>
    <row r="25" ht="17.25" customHeight="1" s="41">
      <c r="A25" s="68" t="inlineStr">
        <is>
          <t>L1 et L2 + présentation UA1 (20 %)</t>
        </is>
      </c>
      <c r="B25" s="69" t="inlineStr">
        <is>
          <t>5 oct. 2026</t>
        </is>
      </c>
      <c r="C25" s="69" t="inlineStr">
        <is>
          <t>5 oct. 2026</t>
        </is>
      </c>
      <c r="D25" s="69" t="n"/>
      <c r="E25" s="68" t="n"/>
      <c r="F25" s="68" t="n"/>
      <c r="G25" s="72" t="inlineStr">
        <is>
          <t>◆</t>
        </is>
      </c>
      <c r="H25" s="68" t="n"/>
      <c r="I25" s="68" t="n"/>
      <c r="J25" s="68" t="n"/>
      <c r="K25" s="68" t="n"/>
      <c r="L25" s="68" t="n"/>
      <c r="M25" s="68" t="n"/>
      <c r="N25" s="68" t="n"/>
      <c r="O25" s="68" t="n"/>
      <c r="P25" s="68" t="n"/>
      <c r="Q25" s="68" t="n"/>
    </row>
    <row r="26" ht="17.25" customHeight="1" s="41">
      <c r="A26" s="68" t="inlineStr">
        <is>
          <t>L3 · Diagnostic, nettoyage, transformation et analyse exploratoire, présentation UA2 (25 %)</t>
        </is>
      </c>
      <c r="B26" s="69" t="inlineStr">
        <is>
          <t>9 nov. 2026</t>
        </is>
      </c>
      <c r="C26" s="69" t="inlineStr">
        <is>
          <t>9 nov. 2026</t>
        </is>
      </c>
      <c r="D26" s="69" t="n"/>
      <c r="E26" s="68" t="n"/>
      <c r="F26" s="68" t="n"/>
      <c r="G26" s="68" t="n"/>
      <c r="H26" s="68" t="n"/>
      <c r="I26" s="68" t="n"/>
      <c r="J26" s="68" t="n"/>
      <c r="K26" s="68" t="n"/>
      <c r="L26" s="72" t="inlineStr">
        <is>
          <t>◆</t>
        </is>
      </c>
      <c r="M26" s="68" t="n"/>
      <c r="N26" s="68" t="n"/>
      <c r="O26" s="68" t="n"/>
      <c r="P26" s="68" t="n"/>
      <c r="Q26" s="68" t="n"/>
    </row>
    <row r="27" ht="17.25" customHeight="1" s="41">
      <c r="A27" s="68" t="inlineStr">
        <is>
          <t>L4 · Prédictif, prescriptif, Streamlit, rapport et présentation UA3 (35 %)</t>
        </is>
      </c>
      <c r="B27" s="69" t="inlineStr">
        <is>
          <t>7 déc. 2026</t>
        </is>
      </c>
      <c r="C27" s="69" t="inlineStr">
        <is>
          <t>7 déc. 2026</t>
        </is>
      </c>
      <c r="D27" s="69" t="n"/>
      <c r="E27" s="68" t="n"/>
      <c r="F27" s="68" t="n"/>
      <c r="G27" s="68" t="n"/>
      <c r="H27" s="68" t="n"/>
      <c r="I27" s="68" t="n"/>
      <c r="J27" s="68" t="n"/>
      <c r="K27" s="68" t="n"/>
      <c r="L27" s="68" t="n"/>
      <c r="M27" s="68" t="n"/>
      <c r="N27" s="68" t="n"/>
      <c r="O27" s="68" t="n"/>
      <c r="P27" s="72" t="inlineStr">
        <is>
          <t>◆</t>
        </is>
      </c>
      <c r="Q27" s="68" t="n"/>
    </row>
    <row r="28" ht="17.25" customHeight="1" s="41">
      <c r="A28" s="68" t="inlineStr">
        <is>
          <t>L5 · Rapport final (20 %)</t>
        </is>
      </c>
      <c r="B28" s="69" t="inlineStr">
        <is>
          <t>14 déc. 2026</t>
        </is>
      </c>
      <c r="C28" s="69" t="inlineStr">
        <is>
          <t>14 déc. 2026</t>
        </is>
      </c>
      <c r="D28" s="69" t="n"/>
      <c r="E28" s="68" t="n"/>
      <c r="F28" s="68" t="n"/>
      <c r="G28" s="68" t="n"/>
      <c r="H28" s="68" t="n"/>
      <c r="I28" s="68" t="n"/>
      <c r="J28" s="68" t="n"/>
      <c r="K28" s="68" t="n"/>
      <c r="L28" s="68" t="n"/>
      <c r="M28" s="68" t="n"/>
      <c r="N28" s="68" t="n"/>
      <c r="O28" s="68" t="n"/>
      <c r="P28" s="68" t="n"/>
      <c r="Q28" s="72" t="inlineStr">
        <is>
          <t>◆</t>
        </is>
      </c>
    </row>
    <row r="29" ht="15" customHeight="1" s="41">
      <c r="A29" s="68" t="inlineStr">
        <is>
          <t>Action de grâce (férié)</t>
        </is>
      </c>
      <c r="B29" s="69" t="inlineStr">
        <is>
          <t>12 oct. 2026</t>
        </is>
      </c>
      <c r="C29" s="69" t="inlineStr">
        <is>
          <t>12 oct. 2026</t>
        </is>
      </c>
      <c r="D29" s="69" t="n"/>
      <c r="E29" s="68" t="n"/>
      <c r="F29" s="68" t="n"/>
      <c r="G29" s="68" t="n"/>
      <c r="H29" s="73" t="inlineStr">
        <is>
          <t>férié</t>
        </is>
      </c>
      <c r="I29" s="68" t="n"/>
      <c r="J29" s="68" t="n"/>
      <c r="K29" s="68" t="n"/>
      <c r="L29" s="68" t="n"/>
      <c r="M29" s="68" t="n"/>
      <c r="N29" s="68" t="n"/>
      <c r="O29" s="68" t="n"/>
      <c r="P29" s="68" t="n"/>
      <c r="Q29" s="68" t="n"/>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0" min="1" max="1"/>
    <col width="36" customWidth="1" style="40" min="2" max="2"/>
    <col width="70" customWidth="1" style="40" min="3" max="3"/>
    <col width="12" customWidth="1" style="40" min="4" max="5"/>
  </cols>
  <sheetData>
    <row r="1" ht="23.25" customHeight="1" s="41">
      <c r="A1" s="44" t="inlineStr">
        <is>
          <t>ID</t>
        </is>
      </c>
      <c r="B1" s="44" t="inlineStr">
        <is>
          <t>Épopée</t>
        </is>
      </c>
      <c r="C1" s="44" t="inlineStr">
        <is>
          <t>Objectif</t>
        </is>
      </c>
      <c r="D1" s="44" t="inlineStr">
        <is>
          <t>Nb de user stories</t>
        </is>
      </c>
      <c r="E1" s="44" t="inlineStr">
        <is>
          <t>Charge estimée (h)</t>
        </is>
      </c>
    </row>
    <row r="2" ht="15" customHeight="1" s="41">
      <c r="A2" s="74" t="inlineStr">
        <is>
          <t>E0</t>
        </is>
      </c>
      <c r="B2" s="74" t="inlineStr">
        <is>
          <t>Gestion de projet Scrum</t>
        </is>
      </c>
      <c r="C2" s="74" t="inlineStr">
        <is>
          <t>Organiser l'équipe, planifier et suivre les sprints</t>
        </is>
      </c>
      <c r="D2" s="75">
        <f>COUNTIF(Backlog!$C$2:$C$43,A2)</f>
        <v/>
      </c>
      <c r="E2" s="75">
        <f>SUMIF(Tâches!$C$2:$C$212,A2&amp;" "&amp;B2,Tâches!$G$2:$G$212)</f>
        <v/>
      </c>
    </row>
    <row r="3" ht="23.25" customHeight="1" s="41">
      <c r="A3" s="74" t="inlineStr">
        <is>
          <t>E1</t>
        </is>
      </c>
      <c r="B3" s="74" t="inlineStr">
        <is>
          <t>Collecte et recherche de données</t>
        </is>
      </c>
      <c r="C3" s="74" t="inlineStr">
        <is>
          <t>Inventorier les données fournies, identifier les manques, collecter les tables de dimension et les données de contexte</t>
        </is>
      </c>
      <c r="D3" s="75">
        <f>COUNTIF(Backlog!$C$2:$C$43,A3)</f>
        <v/>
      </c>
      <c r="E3" s="75">
        <f>SUMIF(Tâches!$C$2:$C$212,A3&amp;" "&amp;B3,Tâches!$G$2:$G$212)</f>
        <v/>
      </c>
    </row>
    <row r="4" ht="23.25" customHeight="1" s="41">
      <c r="A4" s="74" t="inlineStr">
        <is>
          <t>E2</t>
        </is>
      </c>
      <c r="B4" s="74" t="inlineStr">
        <is>
          <t>Intégration et modélisation (ETL)</t>
        </is>
      </c>
      <c r="C4" s="74" t="inlineStr">
        <is>
          <t>Consolider les trimestres et construire un modèle en flocon exploitable par Python, Excel et Power BI</t>
        </is>
      </c>
      <c r="D4" s="75">
        <f>COUNTIF(Backlog!$C$2:$C$43,A4)</f>
        <v/>
      </c>
      <c r="E4" s="75">
        <f>SUMIF(Tâches!$C$2:$C$212,A4&amp;" "&amp;B4,Tâches!$G$2:$G$212)</f>
        <v/>
      </c>
    </row>
    <row r="5" ht="15" customHeight="1" s="41">
      <c r="A5" s="74" t="inlineStr">
        <is>
          <t>E3</t>
        </is>
      </c>
      <c r="B5" s="74" t="inlineStr">
        <is>
          <t>Qualité et nettoyage</t>
        </is>
      </c>
      <c r="C5" s="74" t="inlineStr">
        <is>
          <t>Diagnostiquer et corriger les anomalies</t>
        </is>
      </c>
      <c r="D5" s="75">
        <f>COUNTIF(Backlog!$C$2:$C$43,A5)</f>
        <v/>
      </c>
      <c r="E5" s="75">
        <f>SUMIF(Tâches!$C$2:$C$212,A5&amp;" "&amp;B5,Tâches!$G$2:$G$212)</f>
        <v/>
      </c>
    </row>
    <row r="6" ht="15" customHeight="1" s="41">
      <c r="A6" s="74" t="inlineStr">
        <is>
          <t>E4</t>
        </is>
      </c>
      <c r="B6" s="74" t="inlineStr">
        <is>
          <t>Transformation et variables dérivées</t>
        </is>
      </c>
      <c r="C6" s="74" t="inlineStr">
        <is>
          <t>Créer les indicateurs de marge, de retour et de remise</t>
        </is>
      </c>
      <c r="D6" s="75">
        <f>COUNTIF(Backlog!$C$2:$C$43,A6)</f>
        <v/>
      </c>
      <c r="E6" s="75">
        <f>SUMIF(Tâches!$C$2:$C$212,A6&amp;" "&amp;B6,Tâches!$G$2:$G$212)</f>
        <v/>
      </c>
    </row>
    <row r="7" ht="15" customHeight="1" s="41">
      <c r="A7" s="74" t="inlineStr">
        <is>
          <t>E5</t>
        </is>
      </c>
      <c r="B7" s="74" t="inlineStr">
        <is>
          <t>Analyse exploratoire (Q1 à Q5)</t>
        </is>
      </c>
      <c r="C7" s="74" t="inlineStr">
        <is>
          <t>Répondre aux questions de recherche en Python</t>
        </is>
      </c>
      <c r="D7" s="75">
        <f>COUNTIF(Backlog!$C$2:$C$43,A7)</f>
        <v/>
      </c>
      <c r="E7" s="75">
        <f>SUMIF(Tâches!$C$2:$C$212,A7&amp;" "&amp;B7,Tâches!$G$2:$G$212)</f>
        <v/>
      </c>
    </row>
    <row r="8" ht="15" customHeight="1" s="41">
      <c r="A8" s="74" t="inlineStr">
        <is>
          <t>E6</t>
        </is>
      </c>
      <c r="B8" s="74" t="inlineStr">
        <is>
          <t>Modélisation prédictive</t>
        </is>
      </c>
      <c r="C8" s="74" t="inlineStr">
        <is>
          <t>Prévoir les ventes par l'âge du catalogue, modéliser les charges selon les ventes, établir une typologie des magasins</t>
        </is>
      </c>
      <c r="D8" s="75">
        <f>COUNTIF(Backlog!$C$2:$C$43,A8)</f>
        <v/>
      </c>
      <c r="E8" s="75">
        <f>SUMIF(Tâches!$C$2:$C$212,A8&amp;" "&amp;B8,Tâches!$G$2:$G$212)</f>
        <v/>
      </c>
    </row>
    <row r="9" ht="15" customHeight="1" s="41">
      <c r="A9" s="74" t="inlineStr">
        <is>
          <t>E7</t>
        </is>
      </c>
      <c r="B9" s="74" t="inlineStr">
        <is>
          <t>Tableaux de bord</t>
        </is>
      </c>
      <c r="C9" s="74" t="inlineStr">
        <is>
          <t>Explorer d'autres modes de visualisation avec Excel, Power BI et une application Streamlit</t>
        </is>
      </c>
      <c r="D9" s="75">
        <f>COUNTIF(Backlog!$C$2:$C$43,A9)</f>
        <v/>
      </c>
      <c r="E9" s="75">
        <f>SUMIF(Tâches!$C$2:$C$212,A9&amp;" "&amp;B9,Tâches!$G$2:$G$212)</f>
        <v/>
      </c>
    </row>
    <row r="10" ht="15" customHeight="1" s="41">
      <c r="A10" s="74" t="inlineStr">
        <is>
          <t>E8</t>
        </is>
      </c>
      <c r="B10" s="74" t="inlineStr">
        <is>
          <t>Documentation et livrables</t>
        </is>
      </c>
      <c r="C10" s="74" t="inlineStr">
        <is>
          <t>Rapports, présentations PowerPoint et remises</t>
        </is>
      </c>
      <c r="D10" s="75">
        <f>COUNTIF(Backlog!$C$2:$C$43,A10)</f>
        <v/>
      </c>
      <c r="E10" s="75">
        <f>SUMIF(Tâches!$C$2:$C$212,A10&amp;" "&amp;B10,Tâches!$G$2:$G$212)</f>
        <v/>
      </c>
    </row>
    <row r="11" ht="23.25" customHeight="1" s="41">
      <c r="A11" s="74" t="inlineStr">
        <is>
          <t>E9</t>
        </is>
      </c>
      <c r="B11" s="74" t="inlineStr">
        <is>
          <t>Analyse prescriptive</t>
        </is>
      </c>
      <c r="C11" s="74" t="inlineStr">
        <is>
          <t>Simuler des scénarios de rentabilité, prioriser le renouvellement du catalogue et planifier les essais des leviers incertains</t>
        </is>
      </c>
      <c r="D11" s="75">
        <f>COUNTIF(Backlog!$C$2:$C$43,A11)</f>
        <v/>
      </c>
      <c r="E11" s="75">
        <f>SUMIF(Tâches!$C$2:$C$212,A11&amp;" "&amp;B11,Tâches!$G$2:$G$212)</f>
        <v/>
      </c>
    </row>
    <row r="12" ht="15" customHeight="1" s="41">
      <c r="A12" s="57" t="inlineStr">
        <is>
          <t>Total</t>
        </is>
      </c>
      <c r="D12" s="57">
        <f>SUM(D2:D11)</f>
        <v/>
      </c>
      <c r="E12" s="57">
        <f>SUM(E2:E11)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40" min="1" max="1"/>
    <col width="62" customWidth="1" style="40" min="2" max="2"/>
    <col width="8" customWidth="1" style="40" min="3" max="3"/>
    <col width="10" customWidth="1" style="40" min="4" max="4"/>
    <col width="52" customWidth="1" style="40" min="5" max="5"/>
    <col width="12" customWidth="1" style="40" min="6" max="6"/>
    <col width="8" customWidth="1" style="40" min="7" max="7"/>
    <col width="10" customWidth="1" style="40" min="8" max="8"/>
    <col width="12" customWidth="1" style="40" min="9" max="9"/>
    <col width="11" customWidth="1" style="40" min="10" max="10"/>
    <col width="16" customWidth="1" style="40" min="11" max="11"/>
  </cols>
  <sheetData>
    <row r="1" ht="34.5" customHeight="1" s="41">
      <c r="A1" s="44" t="inlineStr">
        <is>
          <t>ID US</t>
        </is>
      </c>
      <c r="B1" s="44" t="inlineStr">
        <is>
          <t>User story</t>
        </is>
      </c>
      <c r="C1" s="44" t="inlineStr">
        <is>
          <t>Épopée</t>
        </is>
      </c>
      <c r="D1" s="44" t="inlineStr">
        <is>
          <t>Sprint</t>
        </is>
      </c>
      <c r="E1" s="44" t="inlineStr">
        <is>
          <t>Critère d'acceptation</t>
        </is>
      </c>
      <c r="F1" s="44" t="inlineStr">
        <is>
          <t>Priorité (MoSCoW)</t>
        </is>
      </c>
      <c r="G1" s="44" t="inlineStr">
        <is>
          <t>Points</t>
        </is>
      </c>
      <c r="H1" s="44" t="inlineStr">
        <is>
          <t>Nb de tâches</t>
        </is>
      </c>
      <c r="I1" s="44" t="inlineStr">
        <is>
          <t>Charge estimée (h)</t>
        </is>
      </c>
      <c r="J1" s="44" t="inlineStr">
        <is>
          <t>Tâches terminées</t>
        </is>
      </c>
      <c r="K1" s="44" t="inlineStr">
        <is>
          <t>État au 7 oct. 2026</t>
        </is>
      </c>
    </row>
    <row r="2" ht="23.25" customHeight="1" s="41">
      <c r="A2" s="45" t="inlineStr">
        <is>
          <t>US01</t>
        </is>
      </c>
      <c r="B2" s="45" t="inlineStr">
        <is>
          <t>En tant qu'équipe, je veux un cadre Scrum et un espace de travail commun afin de coordonner le projet.</t>
        </is>
      </c>
      <c r="C2" s="45" t="inlineStr">
        <is>
          <t>E0</t>
        </is>
      </c>
      <c r="D2" s="45" t="inlineStr">
        <is>
          <t>Sprint 0</t>
        </is>
      </c>
      <c r="E2" s="45" t="inlineStr">
        <is>
          <t>Rôles attribués, projet Jira ou GitHub Projects créé, dépôt GitHub structuré, Definition of Done rédigée</t>
        </is>
      </c>
      <c r="F2" s="45" t="inlineStr">
        <is>
          <t>Must</t>
        </is>
      </c>
      <c r="G2" s="45" t="n">
        <v>3</v>
      </c>
      <c r="H2" s="75">
        <f>COUNTIF(Tâches!$B$2:$B$212,A2)</f>
        <v/>
      </c>
      <c r="I2" s="75">
        <f>SUMIF(Tâches!$B$2:$B$212,A2,Tâches!$G$2:$G$212)</f>
        <v/>
      </c>
      <c r="J2" s="75">
        <f>COUNTIFS(Tâches!$B$2:$B$212,A2,Tâches!$I$2:$I$212,"Terminé")</f>
        <v/>
      </c>
      <c r="K2" s="75">
        <f>IF(F2="Won't","Abandonnée",IF(J2+COUNTIFS(Tâches!$B$2:$B$212,A2,Tâches!$I$2:$I$212,"En cours")=0,"À faire",IF(J2+COUNTIFS(Tâches!$B$2:$B$212,A2,Tâches!$I$2:$I$212,"Écartée")&gt;=H2,"Terminée","En cours")))</f>
        <v/>
      </c>
    </row>
    <row r="3" ht="23.25" customHeight="1" s="41">
      <c r="A3" s="45" t="inlineStr">
        <is>
          <t>US02</t>
        </is>
      </c>
      <c r="B3" s="45" t="inlineStr">
        <is>
          <t>En tant qu'analyste, je veux inventorier les données fournies afin de connaître leur périmètre réel.</t>
        </is>
      </c>
      <c r="C3" s="45" t="inlineStr">
        <is>
          <t>E1</t>
        </is>
      </c>
      <c r="D3" s="45" t="inlineStr">
        <is>
          <t>Sprint 0</t>
        </is>
      </c>
      <c r="E3" s="45" t="inlineStr">
        <is>
          <t>Les 6 trimestres fournis sont chargés, décrits et un dictionnaire de données initial existe</t>
        </is>
      </c>
      <c r="F3" s="45" t="inlineStr">
        <is>
          <t>Must</t>
        </is>
      </c>
      <c r="G3" s="45" t="n">
        <v>3</v>
      </c>
      <c r="H3" s="75">
        <f>COUNTIF(Tâches!$B$2:$B$212,A3)</f>
        <v/>
      </c>
      <c r="I3" s="75">
        <f>SUMIF(Tâches!$B$2:$B$212,A3,Tâches!$G$2:$G$212)</f>
        <v/>
      </c>
      <c r="J3" s="75">
        <f>COUNTIFS(Tâches!$B$2:$B$212,A3,Tâches!$I$2:$I$212,"Terminé")</f>
        <v/>
      </c>
      <c r="K3" s="75">
        <f>IF(F3="Won't","Abandonnée",IF(J3+COUNTIFS(Tâches!$B$2:$B$212,A3,Tâches!$I$2:$I$212,"En cours")=0,"À faire",IF(J3+COUNTIFS(Tâches!$B$2:$B$212,A3,Tâches!$I$2:$I$212,"Écartée")&gt;=H3,"Terminée","En cours")))</f>
        <v/>
      </c>
    </row>
    <row r="4" ht="23.25" customHeight="1" s="41">
      <c r="A4" s="45" t="inlineStr">
        <is>
          <t>US03</t>
        </is>
      </c>
      <c r="B4" s="45" t="inlineStr">
        <is>
          <t>En tant qu'analyste, je veux identifier les données manquantes afin de mesurer leur impact sur les questions de recherche.</t>
        </is>
      </c>
      <c r="C4" s="45" t="inlineStr">
        <is>
          <t>E1</t>
        </is>
      </c>
      <c r="D4" s="45" t="inlineStr">
        <is>
          <t>Sprint 0</t>
        </is>
      </c>
      <c r="E4" s="45" t="inlineStr">
        <is>
          <t>Tableau des manques et de leur impact validé par l'équipe, demande envoyée au professeur</t>
        </is>
      </c>
      <c r="F4" s="45" t="inlineStr">
        <is>
          <t>Must</t>
        </is>
      </c>
      <c r="G4" s="45" t="n">
        <v>2</v>
      </c>
      <c r="H4" s="75">
        <f>COUNTIF(Tâches!$B$2:$B$212,A4)</f>
        <v/>
      </c>
      <c r="I4" s="75">
        <f>SUMIF(Tâches!$B$2:$B$212,A4,Tâches!$G$2:$G$212)</f>
        <v/>
      </c>
      <c r="J4" s="75">
        <f>COUNTIFS(Tâches!$B$2:$B$212,A4,Tâches!$I$2:$I$212,"Terminé")</f>
        <v/>
      </c>
      <c r="K4" s="75">
        <f>IF(F4="Won't","Abandonnée",IF(J4+COUNTIFS(Tâches!$B$2:$B$212,A4,Tâches!$I$2:$I$212,"En cours")=0,"À faire",IF(J4+COUNTIFS(Tâches!$B$2:$B$212,A4,Tâches!$I$2:$I$212,"Écartée")&gt;=H4,"Terminée","En cours")))</f>
        <v/>
      </c>
    </row>
    <row r="5" ht="34.5" customHeight="1" s="41">
      <c r="A5" s="45" t="inlineStr">
        <is>
          <t>US04</t>
        </is>
      </c>
      <c r="B5" s="45" t="inlineStr">
        <is>
          <t>En tant qu'analyste, je veux collecter les tables de dimension et le jeu de données complet afin d'enrichir l'analyse.</t>
        </is>
      </c>
      <c r="C5" s="45" t="inlineStr">
        <is>
          <t>E1</t>
        </is>
      </c>
      <c r="D5" s="45" t="inlineStr">
        <is>
          <t>Sprint 0</t>
        </is>
      </c>
      <c r="E5" s="45" t="inlineStr">
        <is>
          <t>Source vérifiée (FactSales de Contoso, décalage de 12 ans), arborescence des clés établie, 8 tables retenues et justifiées, correspondance des clés mesurée</t>
        </is>
      </c>
      <c r="F5" s="45" t="inlineStr">
        <is>
          <t>Must</t>
        </is>
      </c>
      <c r="G5" s="45" t="n">
        <v>8</v>
      </c>
      <c r="H5" s="75">
        <f>COUNTIF(Tâches!$B$2:$B$212,A5)</f>
        <v/>
      </c>
      <c r="I5" s="75">
        <f>SUMIF(Tâches!$B$2:$B$212,A5,Tâches!$G$2:$G$212)</f>
        <v/>
      </c>
      <c r="J5" s="75">
        <f>COUNTIFS(Tâches!$B$2:$B$212,A5,Tâches!$I$2:$I$212,"Terminé")</f>
        <v/>
      </c>
      <c r="K5" s="75">
        <f>IF(F5="Won't","Abandonnée",IF(J5+COUNTIFS(Tâches!$B$2:$B$212,A5,Tâches!$I$2:$I$212,"En cours")=0,"À faire",IF(J5+COUNTIFS(Tâches!$B$2:$B$212,A5,Tâches!$I$2:$I$212,"Écartée")&gt;=H5,"Terminée","En cours")))</f>
        <v/>
      </c>
    </row>
    <row r="6" ht="23.25" customHeight="1" s="41">
      <c r="A6" s="45" t="inlineStr">
        <is>
          <t>US05</t>
        </is>
      </c>
      <c r="B6" s="45" t="inlineStr">
        <is>
          <t>En tant qu'analyste, je veux collecter des données de contexte afin d'interpréter les tendances 2020 et 2021.</t>
        </is>
      </c>
      <c r="C6" s="45" t="inlineStr">
        <is>
          <t>E1</t>
        </is>
      </c>
      <c r="D6" s="45" t="inlineStr">
        <is>
          <t>Sprint 0</t>
        </is>
      </c>
      <c r="E6" s="45" t="inlineStr">
        <is>
          <t>Calendrier des jours fériés et périodes COVID-19 par pays disponibles et documentés</t>
        </is>
      </c>
      <c r="F6" s="45" t="inlineStr">
        <is>
          <t>Should</t>
        </is>
      </c>
      <c r="G6" s="45" t="n">
        <v>3</v>
      </c>
      <c r="H6" s="75">
        <f>COUNTIF(Tâches!$B$2:$B$212,A6)</f>
        <v/>
      </c>
      <c r="I6" s="75">
        <f>SUMIF(Tâches!$B$2:$B$212,A6,Tâches!$G$2:$G$212)</f>
        <v/>
      </c>
      <c r="J6" s="75">
        <f>COUNTIFS(Tâches!$B$2:$B$212,A6,Tâches!$I$2:$I$212,"Terminé")</f>
        <v/>
      </c>
      <c r="K6" s="75">
        <f>IF(F6="Won't","Abandonnée",IF(J6+COUNTIFS(Tâches!$B$2:$B$212,A6,Tâches!$I$2:$I$212,"En cours")=0,"À faire",IF(J6+COUNTIFS(Tâches!$B$2:$B$212,A6,Tâches!$I$2:$I$212,"Écartée")&gt;=H6,"Terminée","En cours")))</f>
        <v/>
      </c>
    </row>
    <row r="7" ht="23.25" customHeight="1" s="41">
      <c r="A7" s="45" t="inlineStr">
        <is>
          <t>US06</t>
        </is>
      </c>
      <c r="B7" s="45" t="inlineStr">
        <is>
          <t>En tant que Product Owner, je veux découper le projet en phases et jalons afin de respecter le calendrier du cours (Livrable 1).</t>
        </is>
      </c>
      <c r="C7" s="45" t="inlineStr">
        <is>
          <t>E0</t>
        </is>
      </c>
      <c r="D7" s="45" t="inlineStr">
        <is>
          <t>Sprint 0</t>
        </is>
      </c>
      <c r="E7" s="45" t="inlineStr">
        <is>
          <t>Phases, jalons et diagramme de Gantt alignés sur les dates de remise</t>
        </is>
      </c>
      <c r="F7" s="45" t="inlineStr">
        <is>
          <t>Must</t>
        </is>
      </c>
      <c r="G7" s="45" t="n">
        <v>2</v>
      </c>
      <c r="H7" s="75">
        <f>COUNTIF(Tâches!$B$2:$B$212,A7)</f>
        <v/>
      </c>
      <c r="I7" s="75">
        <f>SUMIF(Tâches!$B$2:$B$212,A7,Tâches!$G$2:$G$212)</f>
        <v/>
      </c>
      <c r="J7" s="75">
        <f>COUNTIFS(Tâches!$B$2:$B$212,A7,Tâches!$I$2:$I$212,"Terminé")</f>
        <v/>
      </c>
      <c r="K7" s="75">
        <f>IF(F7="Won't","Abandonnée",IF(J7+COUNTIFS(Tâches!$B$2:$B$212,A7,Tâches!$I$2:$I$212,"En cours")=0,"À faire",IF(J7+COUNTIFS(Tâches!$B$2:$B$212,A7,Tâches!$I$2:$I$212,"Écartée")&gt;=H7,"Terminée","En cours")))</f>
        <v/>
      </c>
    </row>
    <row r="8" ht="23.25" customHeight="1" s="41">
      <c r="A8" s="45" t="inlineStr">
        <is>
          <t>US07</t>
        </is>
      </c>
      <c r="B8" s="45" t="inlineStr">
        <is>
          <t>En tant que Product Owner, je veux un backlog de tâches granulaires, estimées et priorisées (Livrable 2).</t>
        </is>
      </c>
      <c r="C8" s="45" t="inlineStr">
        <is>
          <t>E0</t>
        </is>
      </c>
      <c r="D8" s="45" t="inlineStr">
        <is>
          <t>Sprint 0</t>
        </is>
      </c>
      <c r="E8" s="45" t="inlineStr">
        <is>
          <t>Toutes les tâches ont une estimation, une priorité, un sprint et un responsable, saisies dans l'outil</t>
        </is>
      </c>
      <c r="F8" s="45" t="inlineStr">
        <is>
          <t>Must</t>
        </is>
      </c>
      <c r="G8" s="45" t="n">
        <v>5</v>
      </c>
      <c r="H8" s="75">
        <f>COUNTIF(Tâches!$B$2:$B$212,A8)</f>
        <v/>
      </c>
      <c r="I8" s="75">
        <f>SUMIF(Tâches!$B$2:$B$212,A8,Tâches!$G$2:$G$212)</f>
        <v/>
      </c>
      <c r="J8" s="75">
        <f>COUNTIFS(Tâches!$B$2:$B$212,A8,Tâches!$I$2:$I$212,"Terminé")</f>
        <v/>
      </c>
      <c r="K8" s="75">
        <f>IF(F8="Won't","Abandonnée",IF(J8+COUNTIFS(Tâches!$B$2:$B$212,A8,Tâches!$I$2:$I$212,"En cours")=0,"À faire",IF(J8+COUNTIFS(Tâches!$B$2:$B$212,A8,Tâches!$I$2:$I$212,"Écartée")&gt;=H8,"Terminée","En cours")))</f>
        <v/>
      </c>
    </row>
    <row r="9" ht="23.25" customHeight="1" s="41">
      <c r="A9" s="45" t="inlineStr">
        <is>
          <t>US08</t>
        </is>
      </c>
      <c r="B9" s="45" t="inlineStr">
        <is>
          <t>En tant qu'équipe, je veux présenter le cadrage du projet (présentation UA1).</t>
        </is>
      </c>
      <c r="C9" s="45" t="inlineStr">
        <is>
          <t>E8</t>
        </is>
      </c>
      <c r="D9" s="45" t="inlineStr">
        <is>
          <t>Sprint 0</t>
        </is>
      </c>
      <c r="E9" s="45" t="inlineStr">
        <is>
          <t>Présentation PowerPoint remise et répétée, chaque membre a une partie</t>
        </is>
      </c>
      <c r="F9" s="45" t="inlineStr">
        <is>
          <t>Must</t>
        </is>
      </c>
      <c r="G9" s="45" t="n">
        <v>3</v>
      </c>
      <c r="H9" s="75">
        <f>COUNTIF(Tâches!$B$2:$B$212,A9)</f>
        <v/>
      </c>
      <c r="I9" s="75">
        <f>SUMIF(Tâches!$B$2:$B$212,A9,Tâches!$G$2:$G$212)</f>
        <v/>
      </c>
      <c r="J9" s="75">
        <f>COUNTIFS(Tâches!$B$2:$B$212,A9,Tâches!$I$2:$I$212,"Terminé")</f>
        <v/>
      </c>
      <c r="K9" s="75">
        <f>IF(F9="Won't","Abandonnée",IF(J9+COUNTIFS(Tâches!$B$2:$B$212,A9,Tâches!$I$2:$I$212,"En cours")=0,"À faire",IF(J9+COUNTIFS(Tâches!$B$2:$B$212,A9,Tâches!$I$2:$I$212,"Écartée")&gt;=H9,"Terminée","En cours")))</f>
        <v/>
      </c>
    </row>
    <row r="10" ht="23.25" customHeight="1" s="41">
      <c r="A10" s="48" t="inlineStr">
        <is>
          <t>US09</t>
        </is>
      </c>
      <c r="B10" s="48" t="inlineStr">
        <is>
          <t>En tant qu'analyste, je veux une table de faits unique consolidant tous les trimestres de ventes (6 fournis, puis 8 avec les ventes complètes).</t>
        </is>
      </c>
      <c r="C10" s="48" t="inlineStr">
        <is>
          <t>E2</t>
        </is>
      </c>
      <c r="D10" s="48" t="inlineStr">
        <is>
          <t>Sprint 1</t>
        </is>
      </c>
      <c r="E10" s="48" t="inlineStr">
        <is>
          <t>Nombre de lignes et totaux réconciliés avec les fichiers sources, aucun doublon non expliqué</t>
        </is>
      </c>
      <c r="F10" s="48" t="inlineStr">
        <is>
          <t>Must</t>
        </is>
      </c>
      <c r="G10" s="48" t="n">
        <v>5</v>
      </c>
      <c r="H10" s="75">
        <f>COUNTIF(Tâches!$B$2:$B$212,A10)</f>
        <v/>
      </c>
      <c r="I10" s="75">
        <f>SUMIF(Tâches!$B$2:$B$212,A10,Tâches!$G$2:$G$212)</f>
        <v/>
      </c>
      <c r="J10" s="75">
        <f>COUNTIFS(Tâches!$B$2:$B$212,A10,Tâches!$I$2:$I$212,"Terminé")</f>
        <v/>
      </c>
      <c r="K10" s="75">
        <f>IF(F10="Won't","Abandonnée",IF(J10+COUNTIFS(Tâches!$B$2:$B$212,A10,Tâches!$I$2:$I$212,"En cours")=0,"À faire",IF(J10+COUNTIFS(Tâches!$B$2:$B$212,A10,Tâches!$I$2:$I$212,"Écartée")&gt;=H10,"Terminée","En cours")))</f>
        <v/>
      </c>
    </row>
    <row r="11" ht="23.25" customHeight="1" s="41">
      <c r="A11" s="48" t="inlineStr">
        <is>
          <t>US10</t>
        </is>
      </c>
      <c r="B11" s="48" t="inlineStr">
        <is>
          <t>En tant qu'analyste, je veux un modèle en flocon afin d'analyser les ventes par boutique, produit, promotion et date.</t>
        </is>
      </c>
      <c r="C11" s="48" t="inlineStr">
        <is>
          <t>E2</t>
        </is>
      </c>
      <c r="D11" s="48" t="inlineStr">
        <is>
          <t>Sprint 1</t>
        </is>
      </c>
      <c r="E11" s="48" t="inlineStr">
        <is>
          <t>Schéma documenté, dimensions jointes, taux de correspondance des clés supérieur ou égal au seuil fixé</t>
        </is>
      </c>
      <c r="F11" s="48" t="inlineStr">
        <is>
          <t>Must</t>
        </is>
      </c>
      <c r="G11" s="48" t="n">
        <v>8</v>
      </c>
      <c r="H11" s="75">
        <f>COUNTIF(Tâches!$B$2:$B$212,A11)</f>
        <v/>
      </c>
      <c r="I11" s="75">
        <f>SUMIF(Tâches!$B$2:$B$212,A11,Tâches!$G$2:$G$212)</f>
        <v/>
      </c>
      <c r="J11" s="75">
        <f>COUNTIFS(Tâches!$B$2:$B$212,A11,Tâches!$I$2:$I$212,"Terminé")</f>
        <v/>
      </c>
      <c r="K11" s="75">
        <f>IF(F11="Won't","Abandonnée",IF(J11+COUNTIFS(Tâches!$B$2:$B$212,A11,Tâches!$I$2:$I$212,"En cours")=0,"À faire",IF(J11+COUNTIFS(Tâches!$B$2:$B$212,A11,Tâches!$I$2:$I$212,"Écartée")&gt;=H11,"Terminée","En cours")))</f>
        <v/>
      </c>
    </row>
    <row r="12" ht="34.5" customHeight="1" s="41">
      <c r="A12" s="48" t="inlineStr">
        <is>
          <t>US11</t>
        </is>
      </c>
      <c r="B12" s="48" t="inlineStr">
        <is>
          <t>En tant que membre de l'équipe, je veux un pipeline reproductible exécutable en une seule commande afin que chacun obtienne les mêmes résultats.</t>
        </is>
      </c>
      <c r="C12" s="48" t="inlineStr">
        <is>
          <t>E2</t>
        </is>
      </c>
      <c r="D12" s="48" t="inlineStr">
        <is>
          <t>Sprint 1</t>
        </is>
      </c>
      <c r="E12" s="48" t="inlineStr">
        <is>
          <t>run_pipeline.py exécute tous les notebooks dans l'ordre des dépendances (en parallèle quand ils sont indépendants), testé sur un poste vierge, README à jour</t>
        </is>
      </c>
      <c r="F12" s="48" t="inlineStr">
        <is>
          <t>Must</t>
        </is>
      </c>
      <c r="G12" s="48" t="n">
        <v>5</v>
      </c>
      <c r="H12" s="75">
        <f>COUNTIF(Tâches!$B$2:$B$212,A12)</f>
        <v/>
      </c>
      <c r="I12" s="75">
        <f>SUMIF(Tâches!$B$2:$B$212,A12,Tâches!$G$2:$G$212)</f>
        <v/>
      </c>
      <c r="J12" s="75">
        <f>COUNTIFS(Tâches!$B$2:$B$212,A12,Tâches!$I$2:$I$212,"Terminé")</f>
        <v/>
      </c>
      <c r="K12" s="75">
        <f>IF(F12="Won't","Abandonnée",IF(J12+COUNTIFS(Tâches!$B$2:$B$212,A12,Tâches!$I$2:$I$212,"En cours")=0,"À faire",IF(J12+COUNTIFS(Tâches!$B$2:$B$212,A12,Tâches!$I$2:$I$212,"Écartée")&gt;=H12,"Terminée","En cours")))</f>
        <v/>
      </c>
    </row>
    <row r="13" ht="23.25" customHeight="1" s="41">
      <c r="A13" s="48" t="inlineStr">
        <is>
          <t>US12</t>
        </is>
      </c>
      <c r="B13" s="48" t="inlineStr">
        <is>
          <t>En tant qu'analyste, je veux un diagnostic complet de la qualité des données.</t>
        </is>
      </c>
      <c r="C13" s="48" t="inlineStr">
        <is>
          <t>E3</t>
        </is>
      </c>
      <c r="D13" s="48" t="inlineStr">
        <is>
          <t>Sprint 2</t>
        </is>
      </c>
      <c r="E13" s="48" t="inlineStr">
        <is>
          <t>Rapport d'anomalies chiffré (manquants, incohérences, valeurs aberrantes)</t>
        </is>
      </c>
      <c r="F13" s="48" t="inlineStr">
        <is>
          <t>Must</t>
        </is>
      </c>
      <c r="G13" s="48" t="n">
        <v>8</v>
      </c>
      <c r="H13" s="75">
        <f>COUNTIF(Tâches!$B$2:$B$212,A13)</f>
        <v/>
      </c>
      <c r="I13" s="75">
        <f>SUMIF(Tâches!$B$2:$B$212,A13,Tâches!$G$2:$G$212)</f>
        <v/>
      </c>
      <c r="J13" s="75">
        <f>COUNTIFS(Tâches!$B$2:$B$212,A13,Tâches!$I$2:$I$212,"Terminé")</f>
        <v/>
      </c>
      <c r="K13" s="75">
        <f>IF(F13="Won't","Abandonnée",IF(J13+COUNTIFS(Tâches!$B$2:$B$212,A13,Tâches!$I$2:$I$212,"En cours")=0,"À faire",IF(J13+COUNTIFS(Tâches!$B$2:$B$212,A13,Tâches!$I$2:$I$212,"Écartée")&gt;=H13,"Terminée","En cours")))</f>
        <v/>
      </c>
    </row>
    <row r="14" ht="23.25" customHeight="1" s="41">
      <c r="A14" s="48" t="inlineStr">
        <is>
          <t>US13</t>
        </is>
      </c>
      <c r="B14" s="48" t="inlineStr">
        <is>
          <t>En tant qu'analyste, je veux des données nettoyées selon des règles documentées.</t>
        </is>
      </c>
      <c r="C14" s="48" t="inlineStr">
        <is>
          <t>E3</t>
        </is>
      </c>
      <c r="D14" s="48" t="inlineStr">
        <is>
          <t>Sprint 2</t>
        </is>
      </c>
      <c r="E14" s="48" t="inlineStr">
        <is>
          <t>Règles validées, journal avant/après, tests de qualité qui passent</t>
        </is>
      </c>
      <c r="F14" s="48" t="inlineStr">
        <is>
          <t>Must</t>
        </is>
      </c>
      <c r="G14" s="48" t="n">
        <v>5</v>
      </c>
      <c r="H14" s="75">
        <f>COUNTIF(Tâches!$B$2:$B$212,A14)</f>
        <v/>
      </c>
      <c r="I14" s="75">
        <f>SUMIF(Tâches!$B$2:$B$212,A14,Tâches!$G$2:$G$212)</f>
        <v/>
      </c>
      <c r="J14" s="75">
        <f>COUNTIFS(Tâches!$B$2:$B$212,A14,Tâches!$I$2:$I$212,"Terminé")</f>
        <v/>
      </c>
      <c r="K14" s="75">
        <f>IF(F14="Won't","Abandonnée",IF(J14+COUNTIFS(Tâches!$B$2:$B$212,A14,Tâches!$I$2:$I$212,"En cours")=0,"À faire",IF(J14+COUNTIFS(Tâches!$B$2:$B$212,A14,Tâches!$I$2:$I$212,"Écartée")&gt;=H14,"Terminée","En cours")))</f>
        <v/>
      </c>
    </row>
    <row r="15" ht="23.25" customHeight="1" s="41">
      <c r="A15" s="48" t="inlineStr">
        <is>
          <t>US14</t>
        </is>
      </c>
      <c r="B15" s="48" t="inlineStr">
        <is>
          <t>En tant qu'analyste, je veux des variables dérivées de marge, de retour et de remise.</t>
        </is>
      </c>
      <c r="C15" s="48" t="inlineStr">
        <is>
          <t>E4</t>
        </is>
      </c>
      <c r="D15" s="48" t="inlineStr">
        <is>
          <t>Sprint 3</t>
        </is>
      </c>
      <c r="E15" s="48" t="inlineStr">
        <is>
          <t>Variables calculées, définies dans le dictionnaire et contrôlées</t>
        </is>
      </c>
      <c r="F15" s="48" t="inlineStr">
        <is>
          <t>Must</t>
        </is>
      </c>
      <c r="G15" s="48" t="n">
        <v>5</v>
      </c>
      <c r="H15" s="75">
        <f>COUNTIF(Tâches!$B$2:$B$212,A15)</f>
        <v/>
      </c>
      <c r="I15" s="75">
        <f>SUMIF(Tâches!$B$2:$B$212,A15,Tâches!$G$2:$G$212)</f>
        <v/>
      </c>
      <c r="J15" s="75">
        <f>COUNTIFS(Tâches!$B$2:$B$212,A15,Tâches!$I$2:$I$212,"Terminé")</f>
        <v/>
      </c>
      <c r="K15" s="75">
        <f>IF(F15="Won't","Abandonnée",IF(J15+COUNTIFS(Tâches!$B$2:$B$212,A15,Tâches!$I$2:$I$212,"En cours")=0,"À faire",IF(J15+COUNTIFS(Tâches!$B$2:$B$212,A15,Tâches!$I$2:$I$212,"Écartée")&gt;=H15,"Terminée","En cours")))</f>
        <v/>
      </c>
    </row>
    <row r="16" ht="23.25" customHeight="1" s="41">
      <c r="A16" s="48" t="inlineStr">
        <is>
          <t>US15</t>
        </is>
      </c>
      <c r="B16" s="48" t="inlineStr">
        <is>
          <t>En tant qu'analyste, je veux des jeux agrégés prêts pour l'analyse et les tableaux de bord.</t>
        </is>
      </c>
      <c r="C16" s="48" t="inlineStr">
        <is>
          <t>E4</t>
        </is>
      </c>
      <c r="D16" s="48" t="inlineStr">
        <is>
          <t>Sprint 3</t>
        </is>
      </c>
      <c r="E16" s="48" t="inlineStr">
        <is>
          <t>Tables agrégées exportées et utilisables dans Python, Excel et Power BI</t>
        </is>
      </c>
      <c r="F16" s="48" t="inlineStr">
        <is>
          <t>Must</t>
        </is>
      </c>
      <c r="G16" s="48" t="n">
        <v>3</v>
      </c>
      <c r="H16" s="75">
        <f>COUNTIF(Tâches!$B$2:$B$212,A16)</f>
        <v/>
      </c>
      <c r="I16" s="75">
        <f>SUMIF(Tâches!$B$2:$B$212,A16,Tâches!$G$2:$G$212)</f>
        <v/>
      </c>
      <c r="J16" s="75">
        <f>COUNTIFS(Tâches!$B$2:$B$212,A16,Tâches!$I$2:$I$212,"Terminé")</f>
        <v/>
      </c>
      <c r="K16" s="75">
        <f>IF(F16="Won't","Abandonnée",IF(J16+COUNTIFS(Tâches!$B$2:$B$212,A16,Tâches!$I$2:$I$212,"En cours")=0,"À faire",IF(J16+COUNTIFS(Tâches!$B$2:$B$212,A16,Tâches!$I$2:$I$212,"Écartée")&gt;=H16,"Terminée","En cours")))</f>
        <v/>
      </c>
    </row>
    <row r="17" ht="23.25" customHeight="1" s="41">
      <c r="A17" s="48" t="inlineStr">
        <is>
          <t>US16</t>
        </is>
      </c>
      <c r="B17" s="48" t="inlineStr">
        <is>
          <t>En tant qu'équipe, je veux remettre le rapport de diagnostic, nettoyage et transformation (Livrable 3).</t>
        </is>
      </c>
      <c r="C17" s="48" t="inlineStr">
        <is>
          <t>E8</t>
        </is>
      </c>
      <c r="D17" s="48" t="inlineStr">
        <is>
          <t>Sprint 3</t>
        </is>
      </c>
      <c r="E17" s="48" t="inlineStr">
        <is>
          <t>Rapport relu et remis le 9 novembre</t>
        </is>
      </c>
      <c r="F17" s="48" t="inlineStr">
        <is>
          <t>Must</t>
        </is>
      </c>
      <c r="G17" s="48" t="n">
        <v>5</v>
      </c>
      <c r="H17" s="75">
        <f>COUNTIF(Tâches!$B$2:$B$212,A17)</f>
        <v/>
      </c>
      <c r="I17" s="75">
        <f>SUMIF(Tâches!$B$2:$B$212,A17,Tâches!$G$2:$G$212)</f>
        <v/>
      </c>
      <c r="J17" s="75">
        <f>COUNTIFS(Tâches!$B$2:$B$212,A17,Tâches!$I$2:$I$212,"Terminé")</f>
        <v/>
      </c>
      <c r="K17" s="75">
        <f>IF(F17="Won't","Abandonnée",IF(J17+COUNTIFS(Tâches!$B$2:$B$212,A17,Tâches!$I$2:$I$212,"En cours")=0,"À faire",IF(J17+COUNTIFS(Tâches!$B$2:$B$212,A17,Tâches!$I$2:$I$212,"Écartée")&gt;=H17,"Terminée","En cours")))</f>
        <v/>
      </c>
    </row>
    <row r="18" ht="23.25" customHeight="1" s="41">
      <c r="A18" s="51" t="inlineStr">
        <is>
          <t>US17</t>
        </is>
      </c>
      <c r="B18" s="51" t="inlineStr">
        <is>
          <t>En tant que décideur, je veux connaître les facteurs déterminants de la performance des ventes (Q1).</t>
        </is>
      </c>
      <c r="C18" s="51" t="inlineStr">
        <is>
          <t>E5</t>
        </is>
      </c>
      <c r="D18" s="51" t="inlineStr">
        <is>
          <t>Sprint 4</t>
        </is>
      </c>
      <c r="E18" s="51" t="inlineStr">
        <is>
          <t>Analyse par boutique, géographie, produit, catégorie et période avec synthèse écrite</t>
        </is>
      </c>
      <c r="F18" s="51" t="inlineStr">
        <is>
          <t>Must</t>
        </is>
      </c>
      <c r="G18" s="51" t="n">
        <v>8</v>
      </c>
      <c r="H18" s="75">
        <f>COUNTIF(Tâches!$B$2:$B$212,A18)</f>
        <v/>
      </c>
      <c r="I18" s="75">
        <f>SUMIF(Tâches!$B$2:$B$212,A18,Tâches!$G$2:$G$212)</f>
        <v/>
      </c>
      <c r="J18" s="75">
        <f>COUNTIFS(Tâches!$B$2:$B$212,A18,Tâches!$I$2:$I$212,"Terminé")</f>
        <v/>
      </c>
      <c r="K18" s="75">
        <f>IF(F18="Won't","Abandonnée",IF(J18+COUNTIFS(Tâches!$B$2:$B$212,A18,Tâches!$I$2:$I$212,"En cours")=0,"À faire",IF(J18+COUNTIFS(Tâches!$B$2:$B$212,A18,Tâches!$I$2:$I$212,"Écartée")&gt;=H18,"Terminée","En cours")))</f>
        <v/>
      </c>
    </row>
    <row r="19" ht="23.25" customHeight="1" s="41">
      <c r="A19" s="51" t="inlineStr">
        <is>
          <t>US18</t>
        </is>
      </c>
      <c r="B19" s="51" t="inlineStr">
        <is>
          <t>En tant que décideur, je veux mesurer l'effet des promotions sur le volume et la marge en valeur (Q2).</t>
        </is>
      </c>
      <c r="C19" s="51" t="inlineStr">
        <is>
          <t>E5</t>
        </is>
      </c>
      <c r="D19" s="51" t="inlineStr">
        <is>
          <t>Sprint 4</t>
        </is>
      </c>
      <c r="E19" s="51" t="inlineStr">
        <is>
          <t>Comparaison promo et hors promo testée statistiquement, synthèse écrite</t>
        </is>
      </c>
      <c r="F19" s="51" t="inlineStr">
        <is>
          <t>Must</t>
        </is>
      </c>
      <c r="G19" s="51" t="n">
        <v>8</v>
      </c>
      <c r="H19" s="75">
        <f>COUNTIF(Tâches!$B$2:$B$212,A19)</f>
        <v/>
      </c>
      <c r="I19" s="75">
        <f>SUMIF(Tâches!$B$2:$B$212,A19,Tâches!$G$2:$G$212)</f>
        <v/>
      </c>
      <c r="J19" s="75">
        <f>COUNTIFS(Tâches!$B$2:$B$212,A19,Tâches!$I$2:$I$212,"Terminé")</f>
        <v/>
      </c>
      <c r="K19" s="75">
        <f>IF(F19="Won't","Abandonnée",IF(J19+COUNTIFS(Tâches!$B$2:$B$212,A19,Tâches!$I$2:$I$212,"En cours")=0,"À faire",IF(J19+COUNTIFS(Tâches!$B$2:$B$212,A19,Tâches!$I$2:$I$212,"Écartée")&gt;=H19,"Terminée","En cours")))</f>
        <v/>
      </c>
    </row>
    <row r="20" ht="23.25" customHeight="1" s="41">
      <c r="A20" s="51" t="inlineStr">
        <is>
          <t>US19</t>
        </is>
      </c>
      <c r="B20" s="51" t="inlineStr">
        <is>
          <t>En tant que décideur, je veux identifier les patterns de retour de produits (Q3).</t>
        </is>
      </c>
      <c r="C20" s="51" t="inlineStr">
        <is>
          <t>E5</t>
        </is>
      </c>
      <c r="D20" s="51" t="inlineStr">
        <is>
          <t>Sprint 4</t>
        </is>
      </c>
      <c r="E20" s="51" t="inlineStr">
        <is>
          <t>Taux de retour standardisés par dimension, cas anormaux identifiés</t>
        </is>
      </c>
      <c r="F20" s="51" t="inlineStr">
        <is>
          <t>Must</t>
        </is>
      </c>
      <c r="G20" s="51" t="n">
        <v>5</v>
      </c>
      <c r="H20" s="75">
        <f>COUNTIF(Tâches!$B$2:$B$212,A20)</f>
        <v/>
      </c>
      <c r="I20" s="75">
        <f>SUMIF(Tâches!$B$2:$B$212,A20,Tâches!$G$2:$G$212)</f>
        <v/>
      </c>
      <c r="J20" s="75">
        <f>COUNTIFS(Tâches!$B$2:$B$212,A20,Tâches!$I$2:$I$212,"Terminé")</f>
        <v/>
      </c>
      <c r="K20" s="75">
        <f>IF(F20="Won't","Abandonnée",IF(J20+COUNTIFS(Tâches!$B$2:$B$212,A20,Tâches!$I$2:$I$212,"En cours")=0,"À faire",IF(J20+COUNTIFS(Tâches!$B$2:$B$212,A20,Tâches!$I$2:$I$212,"Écartée")&gt;=H20,"Terminée","En cours")))</f>
        <v/>
      </c>
    </row>
    <row r="21" ht="23.25" customHeight="1" s="41">
      <c r="A21" s="51" t="inlineStr">
        <is>
          <t>US20</t>
        </is>
      </c>
      <c r="B21" s="51" t="inlineStr">
        <is>
          <t>En tant qu'utilisateur métier, je veux un tableau de bord Excel interactif.</t>
        </is>
      </c>
      <c r="C21" s="51" t="inlineStr">
        <is>
          <t>E7</t>
        </is>
      </c>
      <c r="D21" s="51" t="inlineStr">
        <is>
          <t>Sprint 4</t>
        </is>
      </c>
      <c r="E21" s="51" t="inlineStr">
        <is>
          <t>Tableau de bord avec indicateurs clés et segments fonctionnels, testé par un autre membre</t>
        </is>
      </c>
      <c r="F21" s="51" t="inlineStr">
        <is>
          <t>Should</t>
        </is>
      </c>
      <c r="G21" s="51" t="n">
        <v>5</v>
      </c>
      <c r="H21" s="75">
        <f>COUNTIF(Tâches!$B$2:$B$212,A21)</f>
        <v/>
      </c>
      <c r="I21" s="75">
        <f>SUMIF(Tâches!$B$2:$B$212,A21,Tâches!$G$2:$G$212)</f>
        <v/>
      </c>
      <c r="J21" s="75">
        <f>COUNTIFS(Tâches!$B$2:$B$212,A21,Tâches!$I$2:$I$212,"Terminé")</f>
        <v/>
      </c>
      <c r="K21" s="75">
        <f>IF(F21="Won't","Abandonnée",IF(J21+COUNTIFS(Tâches!$B$2:$B$212,A21,Tâches!$I$2:$I$212,"En cours")=0,"À faire",IF(J21+COUNTIFS(Tâches!$B$2:$B$212,A21,Tâches!$I$2:$I$212,"Écartée")&gt;=H21,"Terminée","En cours")))</f>
        <v/>
      </c>
    </row>
    <row r="22" ht="23.25" customHeight="1" s="41">
      <c r="A22" s="51" t="inlineStr">
        <is>
          <t>US21</t>
        </is>
      </c>
      <c r="B22" s="51" t="inlineStr">
        <is>
          <t>En tant que décideur, je veux savoir si les remises sont liées au taux de retour (Q4).</t>
        </is>
      </c>
      <c r="C22" s="51" t="inlineStr">
        <is>
          <t>E5</t>
        </is>
      </c>
      <c r="D22" s="51" t="inlineStr">
        <is>
          <t>Sprint 4</t>
        </is>
      </c>
      <c r="E22" s="51" t="inlineStr">
        <is>
          <t>Corrélation mesurée et contrôlée par catégorie et période, synthèse écrite</t>
        </is>
      </c>
      <c r="F22" s="51" t="inlineStr">
        <is>
          <t>Must</t>
        </is>
      </c>
      <c r="G22" s="51" t="n">
        <v>5</v>
      </c>
      <c r="H22" s="75">
        <f>COUNTIF(Tâches!$B$2:$B$212,A22)</f>
        <v/>
      </c>
      <c r="I22" s="75">
        <f>SUMIF(Tâches!$B$2:$B$212,A22,Tâches!$G$2:$G$212)</f>
        <v/>
      </c>
      <c r="J22" s="75">
        <f>COUNTIFS(Tâches!$B$2:$B$212,A22,Tâches!$I$2:$I$212,"Terminé")</f>
        <v/>
      </c>
      <c r="K22" s="75">
        <f>IF(F22="Won't","Abandonnée",IF(J22+COUNTIFS(Tâches!$B$2:$B$212,A22,Tâches!$I$2:$I$212,"En cours")=0,"À faire",IF(J22+COUNTIFS(Tâches!$B$2:$B$212,A22,Tâches!$I$2:$I$212,"Écartée")&gt;=H22,"Terminée","En cours")))</f>
        <v/>
      </c>
    </row>
    <row r="23" ht="23.25" customHeight="1" s="41">
      <c r="A23" s="51" t="inlineStr">
        <is>
          <t>US22</t>
        </is>
      </c>
      <c r="B23" s="51" t="inlineStr">
        <is>
          <t>En tant que décideur, je veux identifier les niveaux de remise qui maximisent la marge en valeur (Q5).</t>
        </is>
      </c>
      <c r="C23" s="51" t="inlineStr">
        <is>
          <t>E5</t>
        </is>
      </c>
      <c r="D23" s="51" t="inlineStr">
        <is>
          <t>Sprint 5</t>
        </is>
      </c>
      <c r="E23" s="51" t="inlineStr">
        <is>
          <t>Marge en valeur par tranche de remise, seuils identifiés, recommandations chiffrées</t>
        </is>
      </c>
      <c r="F23" s="51" t="inlineStr">
        <is>
          <t>Must</t>
        </is>
      </c>
      <c r="G23" s="51" t="n">
        <v>5</v>
      </c>
      <c r="H23" s="75">
        <f>COUNTIF(Tâches!$B$2:$B$212,A23)</f>
        <v/>
      </c>
      <c r="I23" s="75">
        <f>SUMIF(Tâches!$B$2:$B$212,A23,Tâches!$G$2:$G$212)</f>
        <v/>
      </c>
      <c r="J23" s="75">
        <f>COUNTIFS(Tâches!$B$2:$B$212,A23,Tâches!$I$2:$I$212,"Terminé")</f>
        <v/>
      </c>
      <c r="K23" s="75">
        <f>IF(F23="Won't","Abandonnée",IF(J23+COUNTIFS(Tâches!$B$2:$B$212,A23,Tâches!$I$2:$I$212,"En cours")=0,"À faire",IF(J23+COUNTIFS(Tâches!$B$2:$B$212,A23,Tâches!$I$2:$I$212,"Écartée")&gt;=H23,"Terminée","En cours")))</f>
        <v/>
      </c>
    </row>
    <row r="24" ht="23.25" customHeight="1" s="41">
      <c r="A24" s="51" t="inlineStr">
        <is>
          <t>US23</t>
        </is>
      </c>
      <c r="B24" s="51" t="inlineStr">
        <is>
          <t>En tant que décideur, je veux un modèle de prévision des ventes fondé sur l'âge du catalogue afin d'anticiper l'usure des produits en place.</t>
        </is>
      </c>
      <c r="C24" s="51" t="inlineStr">
        <is>
          <t>E6</t>
        </is>
      </c>
      <c r="D24" s="51" t="inlineStr">
        <is>
          <t>Sprint 5</t>
        </is>
      </c>
      <c r="E24" s="51" t="inlineStr">
        <is>
          <t>Modèle meilleur que la référence naïve sur la période de test, prévision 2022 avec fourchette selon le nombre de nouveautés lancées</t>
        </is>
      </c>
      <c r="F24" s="51" t="inlineStr">
        <is>
          <t>Must</t>
        </is>
      </c>
      <c r="G24" s="51" t="n">
        <v>8</v>
      </c>
      <c r="H24" s="75">
        <f>COUNTIF(Tâches!$B$2:$B$212,A24)</f>
        <v/>
      </c>
      <c r="I24" s="75">
        <f>SUMIF(Tâches!$B$2:$B$212,A24,Tâches!$G$2:$G$212)</f>
        <v/>
      </c>
      <c r="J24" s="75">
        <f>COUNTIFS(Tâches!$B$2:$B$212,A24,Tâches!$I$2:$I$212,"Terminé")</f>
        <v/>
      </c>
      <c r="K24" s="75">
        <f>IF(F24="Won't","Abandonnée",IF(J24+COUNTIFS(Tâches!$B$2:$B$212,A24,Tâches!$I$2:$I$212,"En cours")=0,"À faire",IF(J24+COUNTIFS(Tâches!$B$2:$B$212,A24,Tâches!$I$2:$I$212,"Écartée")&gt;=H24,"Terminée","En cours")))</f>
        <v/>
      </c>
    </row>
    <row r="25" ht="23.25" customHeight="1" s="41">
      <c r="A25" s="51" t="inlineStr">
        <is>
          <t>US24</t>
        </is>
      </c>
      <c r="B25" s="51" t="inlineStr">
        <is>
          <t>En tant qu'utilisateur métier, je veux un tableau de bord Power BI multi-pages.</t>
        </is>
      </c>
      <c r="C25" s="51" t="inlineStr">
        <is>
          <t>E7</t>
        </is>
      </c>
      <c r="D25" s="51" t="inlineStr">
        <is>
          <t>Sprint 5</t>
        </is>
      </c>
      <c r="E25" s="51" t="inlineStr">
        <is>
          <t>Relations du modèle en flocon, mesures DAX validées, 4 pages avec filtres (vue d'ensemble, catalogue, magasins et charges, simulateur)</t>
        </is>
      </c>
      <c r="F25" s="51" t="inlineStr">
        <is>
          <t>Must</t>
        </is>
      </c>
      <c r="G25" s="51" t="n">
        <v>8</v>
      </c>
      <c r="H25" s="75">
        <f>COUNTIF(Tâches!$B$2:$B$212,A25)</f>
        <v/>
      </c>
      <c r="I25" s="75">
        <f>SUMIF(Tâches!$B$2:$B$212,A25,Tâches!$G$2:$G$212)</f>
        <v/>
      </c>
      <c r="J25" s="75">
        <f>COUNTIFS(Tâches!$B$2:$B$212,A25,Tâches!$I$2:$I$212,"Terminé")</f>
        <v/>
      </c>
      <c r="K25" s="75">
        <f>IF(F25="Won't","Abandonnée",IF(J25+COUNTIFS(Tâches!$B$2:$B$212,A25,Tâches!$I$2:$I$212,"En cours")=0,"À faire",IF(J25+COUNTIFS(Tâches!$B$2:$B$212,A25,Tâches!$I$2:$I$212,"Écartée")&gt;=H25,"Terminée","En cours")))</f>
        <v/>
      </c>
    </row>
    <row r="26" ht="23.25" customHeight="1" s="41">
      <c r="A26" s="51" t="inlineStr">
        <is>
          <t>US25</t>
        </is>
      </c>
      <c r="B26" s="51" t="inlineStr">
        <is>
          <t>En tant qu'équipe, je veux remettre le rapport d'analyse et présenter nos conclusions (Livrable 4).</t>
        </is>
      </c>
      <c r="C26" s="51" t="inlineStr">
        <is>
          <t>E8</t>
        </is>
      </c>
      <c r="D26" s="51" t="inlineStr">
        <is>
          <t>Sprint 5</t>
        </is>
      </c>
      <c r="E26" s="51" t="inlineStr">
        <is>
          <t>Rapport remis et présentation PowerPoint répétée pour le 7 décembre</t>
        </is>
      </c>
      <c r="F26" s="51" t="inlineStr">
        <is>
          <t>Must</t>
        </is>
      </c>
      <c r="G26" s="51" t="n">
        <v>8</v>
      </c>
      <c r="H26" s="75">
        <f>COUNTIF(Tâches!$B$2:$B$212,A26)</f>
        <v/>
      </c>
      <c r="I26" s="75">
        <f>SUMIF(Tâches!$B$2:$B$212,A26,Tâches!$G$2:$G$212)</f>
        <v/>
      </c>
      <c r="J26" s="75">
        <f>COUNTIFS(Tâches!$B$2:$B$212,A26,Tâches!$I$2:$I$212,"Terminé")</f>
        <v/>
      </c>
      <c r="K26" s="75">
        <f>IF(F26="Won't","Abandonnée",IF(J26+COUNTIFS(Tâches!$B$2:$B$212,A26,Tâches!$I$2:$I$212,"En cours")=0,"À faire",IF(J26+COUNTIFS(Tâches!$B$2:$B$212,A26,Tâches!$I$2:$I$212,"Écartée")&gt;=H26,"Terminée","En cours")))</f>
        <v/>
      </c>
    </row>
    <row r="27" ht="23.25" customHeight="1" s="41">
      <c r="A27" s="54" t="inlineStr">
        <is>
          <t>US26</t>
        </is>
      </c>
      <c r="B27" s="54" t="inlineStr">
        <is>
          <t>En tant que décideur, je veux un rapport final avec des recommandations opérationnelles (Livrable 5).</t>
        </is>
      </c>
      <c r="C27" s="54" t="inlineStr">
        <is>
          <t>E8</t>
        </is>
      </c>
      <c r="D27" s="54" t="inlineStr">
        <is>
          <t>Sprint 6</t>
        </is>
      </c>
      <c r="E27" s="54" t="inlineStr">
        <is>
          <t>Recommandations priorisées par impact et faisabilité, rapport remis le 14 décembre</t>
        </is>
      </c>
      <c r="F27" s="54" t="inlineStr">
        <is>
          <t>Must</t>
        </is>
      </c>
      <c r="G27" s="54" t="n">
        <v>5</v>
      </c>
      <c r="H27" s="75">
        <f>COUNTIF(Tâches!$B$2:$B$212,A27)</f>
        <v/>
      </c>
      <c r="I27" s="75">
        <f>SUMIF(Tâches!$B$2:$B$212,A27,Tâches!$G$2:$G$212)</f>
        <v/>
      </c>
      <c r="J27" s="75">
        <f>COUNTIFS(Tâches!$B$2:$B$212,A27,Tâches!$I$2:$I$212,"Terminé")</f>
        <v/>
      </c>
      <c r="K27" s="75">
        <f>IF(F27="Won't","Abandonnée",IF(J27+COUNTIFS(Tâches!$B$2:$B$212,A27,Tâches!$I$2:$I$212,"En cours")=0,"À faire",IF(J27+COUNTIFS(Tâches!$B$2:$B$212,A27,Tâches!$I$2:$I$212,"Écartée")&gt;=H27,"Terminée","En cours")))</f>
        <v/>
      </c>
    </row>
    <row r="28" ht="23.25" customHeight="1" s="41">
      <c r="A28" s="51" t="inlineStr">
        <is>
          <t>US28</t>
        </is>
      </c>
      <c r="B28" s="51" t="inlineStr">
        <is>
          <t>En tant que décideur, je veux prédire le risque de retour d'une vente afin d'identifier les leviers qui le réduisent (Q3, Q4).</t>
        </is>
      </c>
      <c r="C28" s="51" t="inlineStr">
        <is>
          <t>E6</t>
        </is>
      </c>
      <c r="D28" s="51" t="inlineStr">
        <is>
          <t>Sprint 4</t>
        </is>
      </c>
      <c r="E28" s="51" t="inlineStr">
        <is>
          <t>Modèle évalué (AUC, rappel) meilleur qu'une référence simple, importance des variables interprétée</t>
        </is>
      </c>
      <c r="F28" s="51" t="inlineStr">
        <is>
          <t>Could</t>
        </is>
      </c>
      <c r="G28" s="51" t="n">
        <v>5</v>
      </c>
      <c r="H28" s="75">
        <f>COUNTIF(Tâches!$B$2:$B$212,A28)</f>
        <v/>
      </c>
      <c r="I28" s="75">
        <f>SUMIF(Tâches!$B$2:$B$212,A28,Tâches!$G$2:$G$212)</f>
        <v/>
      </c>
      <c r="J28" s="75">
        <f>COUNTIFS(Tâches!$B$2:$B$212,A28,Tâches!$I$2:$I$212,"Terminé")</f>
        <v/>
      </c>
      <c r="K28" s="75">
        <f>IF(F28="Won't","Abandonnée",IF(J28+COUNTIFS(Tâches!$B$2:$B$212,A28,Tâches!$I$2:$I$212,"En cours")=0,"À faire",IF(J28+COUNTIFS(Tâches!$B$2:$B$212,A28,Tâches!$I$2:$I$212,"Écartée")&gt;=H28,"Terminée","En cours")))</f>
        <v/>
      </c>
    </row>
    <row r="29" ht="34.5" customHeight="1" s="41">
      <c r="A29" s="51" t="inlineStr">
        <is>
          <t>US29</t>
        </is>
      </c>
      <c r="B29" s="51" t="inlineStr">
        <is>
          <t>En tant que décideur, je veux estimer le volume et la marge en valeur attendus selon le taux de remise, la catégorie, la boutique et la période (Q2, Q5).</t>
        </is>
      </c>
      <c r="C29" s="51" t="inlineStr">
        <is>
          <t>E6</t>
        </is>
      </c>
      <c r="D29" s="51" t="inlineStr">
        <is>
          <t>Sprint 5</t>
        </is>
      </c>
      <c r="E29" s="51" t="inlineStr">
        <is>
          <t>Modèle de réponse validé sur une période de test, uplift incrémental estimé par type de promotion</t>
        </is>
      </c>
      <c r="F29" s="76" t="inlineStr">
        <is>
          <t>Won't</t>
        </is>
      </c>
      <c r="G29" s="51" t="n">
        <v>8</v>
      </c>
      <c r="H29" s="75">
        <f>COUNTIF(Tâches!$B$2:$B$212,A29)</f>
        <v/>
      </c>
      <c r="I29" s="75">
        <f>SUMIF(Tâches!$B$2:$B$212,A29,Tâches!$G$2:$G$212)</f>
        <v/>
      </c>
      <c r="J29" s="75">
        <f>COUNTIFS(Tâches!$B$2:$B$212,A29,Tâches!$I$2:$I$212,"Terminé")</f>
        <v/>
      </c>
      <c r="K29" s="75">
        <f>IF(F29="Won't","Abandonnée",IF(J29+COUNTIFS(Tâches!$B$2:$B$212,A29,Tâches!$I$2:$I$212,"En cours")=0,"À faire",IF(J29+COUNTIFS(Tâches!$B$2:$B$212,A29,Tâches!$I$2:$I$212,"Écartée")&gt;=H29,"Terminée","En cours")))</f>
        <v/>
      </c>
    </row>
    <row r="30" ht="23.25" customHeight="1" s="41">
      <c r="A30" s="51" t="inlineStr">
        <is>
          <t>US30</t>
        </is>
      </c>
      <c r="B30" s="51" t="inlineStr">
        <is>
          <t>En tant que décideur, je veux simuler des scénarios de rentabilité (what-if) combinant les leviers afin de comparer leur impact avant de décider.</t>
        </is>
      </c>
      <c r="C30" s="51" t="inlineStr">
        <is>
          <t>E9</t>
        </is>
      </c>
      <c r="D30" s="51" t="inlineStr">
        <is>
          <t>Sprint 5</t>
        </is>
      </c>
      <c r="E30" s="51" t="inlineStr">
        <is>
          <t>Au moins 6 scénarios simulés (chiffre d'affaires, charges, résultat d'exploitation), grille de sensibilité, page simulateur Power BI fonctionnelle</t>
        </is>
      </c>
      <c r="F30" s="45" t="inlineStr">
        <is>
          <t>Must</t>
        </is>
      </c>
      <c r="G30" s="51" t="n">
        <v>5</v>
      </c>
      <c r="H30" s="75">
        <f>COUNTIF(Tâches!$B$2:$B$212,A30)</f>
        <v/>
      </c>
      <c r="I30" s="75">
        <f>SUMIF(Tâches!$B$2:$B$212,A30,Tâches!$G$2:$G$212)</f>
        <v/>
      </c>
      <c r="J30" s="75">
        <f>COUNTIFS(Tâches!$B$2:$B$212,A30,Tâches!$I$2:$I$212,"Terminé")</f>
        <v/>
      </c>
      <c r="K30" s="75">
        <f>IF(F30="Won't","Abandonnée",IF(J30+COUNTIFS(Tâches!$B$2:$B$212,A30,Tâches!$I$2:$I$212,"En cours")=0,"À faire",IF(J30+COUNTIFS(Tâches!$B$2:$B$212,A30,Tâches!$I$2:$I$212,"Écartée")&gt;=H30,"Terminée","En cours")))</f>
        <v/>
      </c>
    </row>
    <row r="31" ht="23.25" customHeight="1" s="41">
      <c r="A31" s="51" t="inlineStr">
        <is>
          <t>US31</t>
        </is>
      </c>
      <c r="B31" s="51" t="inlineStr">
        <is>
          <t>En tant que décideur, je veux savoir dans quelles sous-catégories lancer des nouveautés en priorité afin de maximiser le chiffre d'affaires attendu.</t>
        </is>
      </c>
      <c r="C31" s="51" t="inlineStr">
        <is>
          <t>E9</t>
        </is>
      </c>
      <c r="D31" s="51" t="inlineStr">
        <is>
          <t>Sprint 5</t>
        </is>
      </c>
      <c r="E31" s="51" t="inlineStr">
        <is>
          <t>Problème d'optimisation formulé et résolu en Python et avec le Solveur Excel, gain attendu chiffré vs répartition actuelle, limites de l'estimation documentées</t>
        </is>
      </c>
      <c r="F31" s="51" t="inlineStr">
        <is>
          <t>Must</t>
        </is>
      </c>
      <c r="G31" s="51" t="n">
        <v>8</v>
      </c>
      <c r="H31" s="75">
        <f>COUNTIF(Tâches!$B$2:$B$212,A31)</f>
        <v/>
      </c>
      <c r="I31" s="75">
        <f>SUMIF(Tâches!$B$2:$B$212,A31,Tâches!$G$2:$G$212)</f>
        <v/>
      </c>
      <c r="J31" s="75">
        <f>COUNTIFS(Tâches!$B$2:$B$212,A31,Tâches!$I$2:$I$212,"Terminé")</f>
        <v/>
      </c>
      <c r="K31" s="75">
        <f>IF(F31="Won't","Abandonnée",IF(J31+COUNTIFS(Tâches!$B$2:$B$212,A31,Tâches!$I$2:$I$212,"En cours")=0,"À faire",IF(J31+COUNTIFS(Tâches!$B$2:$B$212,A31,Tâches!$I$2:$I$212,"Écartée")&gt;=H31,"Terminée","En cours")))</f>
        <v/>
      </c>
    </row>
    <row r="32" ht="34.5" customHeight="1" s="41">
      <c r="A32" s="54" t="inlineStr">
        <is>
          <t>US32</t>
        </is>
      </c>
      <c r="B32" s="54" t="inlineStr">
        <is>
          <t>En tant que décideur, je veux un plan d'essais pour valider les leviers incertains (publicité des magasins, remises en ligne et chez le revendeur) avant de les généraliser.</t>
        </is>
      </c>
      <c r="C32" s="54" t="inlineStr">
        <is>
          <t>E9</t>
        </is>
      </c>
      <c r="D32" s="54" t="inlineStr">
        <is>
          <t>Sprint 6</t>
        </is>
      </c>
      <c r="E32" s="54" t="inlineStr">
        <is>
          <t>Magasins tests et témoins désignés, durée et puissance statistique calculées, gains et risques chiffrés, intégrés au rapport final</t>
        </is>
      </c>
      <c r="F32" s="45" t="inlineStr">
        <is>
          <t>Should</t>
        </is>
      </c>
      <c r="G32" s="54" t="n">
        <v>5</v>
      </c>
      <c r="H32" s="75">
        <f>COUNTIF(Tâches!$B$2:$B$212,A32)</f>
        <v/>
      </c>
      <c r="I32" s="75">
        <f>SUMIF(Tâches!$B$2:$B$212,A32,Tâches!$G$2:$G$212)</f>
        <v/>
      </c>
      <c r="J32" s="75">
        <f>COUNTIFS(Tâches!$B$2:$B$212,A32,Tâches!$I$2:$I$212,"Terminé")</f>
        <v/>
      </c>
      <c r="K32" s="75">
        <f>IF(F32="Won't","Abandonnée",IF(J32+COUNTIFS(Tâches!$B$2:$B$212,A32,Tâches!$I$2:$I$212,"En cours")=0,"À faire",IF(J32+COUNTIFS(Tâches!$B$2:$B$212,A32,Tâches!$I$2:$I$212,"Écartée")&gt;=H32,"Terminée","En cours")))</f>
        <v/>
      </c>
    </row>
    <row r="33" ht="23.25" customHeight="1" s="41">
      <c r="A33" s="45" t="inlineStr">
        <is>
          <t>US33</t>
        </is>
      </c>
      <c r="B33" s="45" t="inlineStr">
        <is>
          <t>En tant que membre de l'équipe, je veux une structure de dépôt et des conventions communes afin de travailler à six sans conflit.</t>
        </is>
      </c>
      <c r="C33" s="45" t="inlineStr">
        <is>
          <t>E2</t>
        </is>
      </c>
      <c r="D33" s="45" t="inlineStr">
        <is>
          <t>Sprint 0</t>
        </is>
      </c>
      <c r="E33" s="45" t="inlineStr">
        <is>
          <t>Arborescence créée, 16 notebooks numérotés avec un responsable chacun, environnement et nbstripout configurés</t>
        </is>
      </c>
      <c r="F33" s="45" t="inlineStr">
        <is>
          <t>Must</t>
        </is>
      </c>
      <c r="G33" s="45" t="n">
        <v>3</v>
      </c>
      <c r="H33" s="75">
        <f>COUNTIF(Tâches!$B$2:$B$212,A33)</f>
        <v/>
      </c>
      <c r="I33" s="75">
        <f>SUMIF(Tâches!$B$2:$B$212,A33,Tâches!$G$2:$G$212)</f>
        <v/>
      </c>
      <c r="J33" s="75">
        <f>COUNTIFS(Tâches!$B$2:$B$212,A33,Tâches!$I$2:$I$212,"Terminé")</f>
        <v/>
      </c>
      <c r="K33" s="75">
        <f>IF(F33="Won't","Abandonnée",IF(J33+COUNTIFS(Tâches!$B$2:$B$212,A33,Tâches!$I$2:$I$212,"En cours")=0,"À faire",IF(J33+COUNTIFS(Tâches!$B$2:$B$212,A33,Tâches!$I$2:$I$212,"Écartée")&gt;=H33,"Terminée","En cours")))</f>
        <v/>
      </c>
    </row>
    <row r="34" ht="23.25" customHeight="1" s="41">
      <c r="A34" s="74" t="inlineStr">
        <is>
          <t>US27</t>
        </is>
      </c>
      <c r="B34" s="74" t="inlineStr">
        <is>
          <t>En tant qu'équipe, je veux des cérémonies Scrum régulières afin de nous améliorer en continu.</t>
        </is>
      </c>
      <c r="C34" s="74" t="inlineStr">
        <is>
          <t>E0</t>
        </is>
      </c>
      <c r="D34" s="74" t="inlineStr">
        <is>
          <t>Tous</t>
        </is>
      </c>
      <c r="E34" s="74" t="inlineStr">
        <is>
          <t>Planification, revue et rétrospective tenues et consignées à chaque sprint</t>
        </is>
      </c>
      <c r="F34" s="74" t="inlineStr">
        <is>
          <t>Must</t>
        </is>
      </c>
      <c r="G34" s="74" t="n">
        <v>3</v>
      </c>
      <c r="H34" s="75">
        <f>COUNTIF(Tâches!$B$2:$B$212,A34)</f>
        <v/>
      </c>
      <c r="I34" s="75">
        <f>SUMIF(Tâches!$B$2:$B$212,A34,Tâches!$G$2:$G$212)</f>
        <v/>
      </c>
      <c r="J34" s="75">
        <f>COUNTIFS(Tâches!$B$2:$B$212,A34,Tâches!$I$2:$I$212,"Terminé")</f>
        <v/>
      </c>
      <c r="K34" s="75">
        <f>IF(F34="Won't","Abandonnée",IF(J34+COUNTIFS(Tâches!$B$2:$B$212,A34,Tâches!$I$2:$I$212,"En cours")=0,"À faire",IF(J34+COUNTIFS(Tâches!$B$2:$B$212,A34,Tâches!$I$2:$I$212,"Écartée")&gt;=H34,"Terminée","En cours")))</f>
        <v/>
      </c>
    </row>
    <row r="35" ht="23.25" customHeight="1" s="41">
      <c r="A35" s="74" t="inlineStr">
        <is>
          <t>US34</t>
        </is>
      </c>
      <c r="B35" s="74" t="inlineStr">
        <is>
          <t>En tant qu'analyste, je veux étendre les ventes au périmètre complet de nos boutiques (8 catégories, 8 trimestres) afin d'analyser toute l'activité et de la rapprocher des charges.</t>
        </is>
      </c>
      <c r="C35" s="74" t="inlineStr">
        <is>
          <t>E2</t>
        </is>
      </c>
      <c r="D35" s="74" t="inlineStr">
        <is>
          <t>Sprint 1</t>
        </is>
      </c>
      <c r="E35" s="74" t="inlineStr">
        <is>
          <t>376 234 lignes extraites au format des fichiers fournis, lignes du professeur retrouvées à l'identique, totaux égaux au plan stratégique, notebooks 00 à 05 relancés, changement justifié dans 00_inventaire</t>
        </is>
      </c>
      <c r="F35" s="74" t="inlineStr">
        <is>
          <t>Must</t>
        </is>
      </c>
      <c r="G35" s="74" t="n">
        <v>5</v>
      </c>
      <c r="H35" s="75">
        <f>COUNTIF(Tâches!$B$2:$B$212,A35)</f>
        <v/>
      </c>
      <c r="I35" s="75">
        <f>SUMIF(Tâches!$B$2:$B$212,A35,Tâches!$G$2:$G$212)</f>
        <v/>
      </c>
      <c r="J35" s="75">
        <f>COUNTIFS(Tâches!$B$2:$B$212,A35,Tâches!$I$2:$I$212,"Terminé")</f>
        <v/>
      </c>
      <c r="K35" s="75">
        <f>IF(F35="Won't","Abandonnée",IF(J35+COUNTIFS(Tâches!$B$2:$B$212,A35,Tâches!$I$2:$I$212,"En cours")=0,"À faire",IF(J35+COUNTIFS(Tâches!$B$2:$B$212,A35,Tâches!$I$2:$I$212,"Écartée")&gt;=H35,"Terminée","En cours")))</f>
        <v/>
      </c>
    </row>
    <row r="36" ht="23.25" customHeight="1" s="41">
      <c r="A36" s="74" t="inlineStr">
        <is>
          <t>US35</t>
        </is>
      </c>
      <c r="B36" s="74" t="inlineStr">
        <is>
          <t>En tant que décideur, je veux connaître la rentabilité nette de chaque boutique (marge moins charges d'exploitation) et son écart au budget (Q1).</t>
        </is>
      </c>
      <c r="C36" s="74" t="inlineStr">
        <is>
          <t>E5</t>
        </is>
      </c>
      <c r="D36" s="74" t="inlineStr">
        <is>
          <t>Sprint 4</t>
        </is>
      </c>
      <c r="E36" s="74" t="inlineStr">
        <is>
          <t>Charges du plan stratégique jointes aux ventes par boutique et par mois, rapprochement contrôlé, rentabilité nette et écart réel / budget par boutique, synthèse écrite</t>
        </is>
      </c>
      <c r="F36" s="74" t="inlineStr">
        <is>
          <t>Should</t>
        </is>
      </c>
      <c r="G36" s="74" t="n">
        <v>8</v>
      </c>
      <c r="H36" s="75">
        <f>COUNTIF(Tâches!$B$2:$B$212,A36)</f>
        <v/>
      </c>
      <c r="I36" s="75">
        <f>SUMIF(Tâches!$B$2:$B$212,A36,Tâches!$G$2:$G$212)</f>
        <v/>
      </c>
      <c r="J36" s="75">
        <f>COUNTIFS(Tâches!$B$2:$B$212,A36,Tâches!$I$2:$I$212,"Terminé")</f>
        <v/>
      </c>
      <c r="K36" s="75">
        <f>IF(F36="Won't","Abandonnée",IF(J36+COUNTIFS(Tâches!$B$2:$B$212,A36,Tâches!$I$2:$I$212,"En cours")=0,"À faire",IF(J36+COUNTIFS(Tâches!$B$2:$B$212,A36,Tâches!$I$2:$I$212,"Écartée")&gt;=H36,"Terminée","En cours")))</f>
        <v/>
      </c>
    </row>
    <row r="37" ht="23.25" customHeight="1" s="41">
      <c r="A37" s="74" t="inlineStr">
        <is>
          <t>US36</t>
        </is>
      </c>
      <c r="B37" s="74" t="inlineStr">
        <is>
          <t>En tant que décideur, je veux comparer les dépenses de publicité aux remises et aux ventes en promotion (Q2, Q5).</t>
        </is>
      </c>
      <c r="C37" s="74" t="inlineStr">
        <is>
          <t>E5</t>
        </is>
      </c>
      <c r="D37" s="74" t="inlineStr">
        <is>
          <t>Sprint 4</t>
        </is>
      </c>
      <c r="E37" s="74" t="inlineStr">
        <is>
          <t>Dépenses de publicité par boutique et par mois rapprochées des remises accordées et des ventes en promotion, synthèse écrite</t>
        </is>
      </c>
      <c r="F37" s="74" t="inlineStr">
        <is>
          <t>Should</t>
        </is>
      </c>
      <c r="G37" s="74" t="n">
        <v>5</v>
      </c>
      <c r="H37" s="75">
        <f>COUNTIF(Tâches!$B$2:$B$212,A37)</f>
        <v/>
      </c>
      <c r="I37" s="75">
        <f>SUMIF(Tâches!$B$2:$B$212,A37,Tâches!$G$2:$G$212)</f>
        <v/>
      </c>
      <c r="J37" s="75">
        <f>COUNTIFS(Tâches!$B$2:$B$212,A37,Tâches!$I$2:$I$212,"Terminé")</f>
        <v/>
      </c>
      <c r="K37" s="75">
        <f>IF(F37="Won't","Abandonnée",IF(J37+COUNTIFS(Tâches!$B$2:$B$212,A37,Tâches!$I$2:$I$212,"En cours")=0,"À faire",IF(J37+COUNTIFS(Tâches!$B$2:$B$212,A37,Tâches!$I$2:$I$212,"Écartée")&gt;=H37,"Terminée","En cours")))</f>
        <v/>
      </c>
    </row>
    <row r="38" ht="23.25" customHeight="1" s="41">
      <c r="A38" s="74" t="inlineStr">
        <is>
          <t>US37</t>
        </is>
      </c>
      <c r="B38" s="74" t="inlineStr">
        <is>
          <t>En tant qu'analyste, je veux exploiter le détail des ventes en ligne (FactOnlineSales) afin de comprendre comment les remises sont appliquées (Q2).</t>
        </is>
      </c>
      <c r="C38" s="74" t="inlineStr">
        <is>
          <t>E5</t>
        </is>
      </c>
      <c r="D38" s="74" t="inlineStr">
        <is>
          <t>Sprint 4</t>
        </is>
      </c>
      <c r="E38" s="74" t="inlineStr">
        <is>
          <t>Agrégat mensuel du détail en ligne comparé aux ventes consolidées de la boutique en ligne, écart de remise expliqué, limite au seul canal en ligne écrite</t>
        </is>
      </c>
      <c r="F38" s="74" t="inlineStr">
        <is>
          <t>Could</t>
        </is>
      </c>
      <c r="G38" s="74" t="n">
        <v>5</v>
      </c>
      <c r="H38" s="75">
        <f>COUNTIF(Tâches!$B$2:$B$212,A38)</f>
        <v/>
      </c>
      <c r="I38" s="75">
        <f>SUMIF(Tâches!$B$2:$B$212,A38,Tâches!$G$2:$G$212)</f>
        <v/>
      </c>
      <c r="J38" s="75">
        <f>COUNTIFS(Tâches!$B$2:$B$212,A38,Tâches!$I$2:$I$212,"Terminé")</f>
        <v/>
      </c>
      <c r="K38" s="75">
        <f>IF(F38="Won't","Abandonnée",IF(J38+COUNTIFS(Tâches!$B$2:$B$212,A38,Tâches!$I$2:$I$212,"En cours")=0,"À faire",IF(J38+COUNTIFS(Tâches!$B$2:$B$212,A38,Tâches!$I$2:$I$212,"Écartée")&gt;=H38,"Terminée","En cours")))</f>
        <v/>
      </c>
    </row>
    <row r="39" ht="23.25" customHeight="1" s="41">
      <c r="A39" s="74" t="inlineStr">
        <is>
          <t>US38</t>
        </is>
      </c>
      <c r="B39" s="74" t="inlineStr">
        <is>
          <t>En tant que décideur, je veux comprendre pourquoi le chiffre d'affaires a baissé en 2021 afin d'agir sur la cause.</t>
        </is>
      </c>
      <c r="C39" s="74" t="inlineStr">
        <is>
          <t>E5</t>
        </is>
      </c>
      <c r="D39" s="74" t="inlineStr">
        <is>
          <t>Sprint 4</t>
        </is>
      </c>
      <c r="E39" s="74" t="inlineStr">
        <is>
          <t>Baisse décomposée entre catalogue en place et nouveautés, hypothèse de l'usure du catalogue testée statistiquement, synthèse écrite</t>
        </is>
      </c>
      <c r="F39" s="45" t="inlineStr">
        <is>
          <t>Must</t>
        </is>
      </c>
      <c r="G39" s="74" t="n">
        <v>8</v>
      </c>
      <c r="H39" s="75">
        <f>COUNTIF(Tâches!$B$2:$B$212,A39)</f>
        <v/>
      </c>
      <c r="I39" s="75">
        <f>SUMIF(Tâches!$B$2:$B$212,A39,Tâches!$G$2:$G$212)</f>
        <v/>
      </c>
      <c r="J39" s="75">
        <f>COUNTIFS(Tâches!$B$2:$B$212,A39,Tâches!$I$2:$I$212,"Terminé")</f>
        <v/>
      </c>
      <c r="K39" s="75">
        <f>IF(F39="Won't","Abandonnée",IF(J39+COUNTIFS(Tâches!$B$2:$B$212,A39,Tâches!$I$2:$I$212,"En cours")=0,"À faire",IF(J39+COUNTIFS(Tâches!$B$2:$B$212,A39,Tâches!$I$2:$I$212,"Écartée")&gt;=H39,"Terminée","En cours")))</f>
        <v/>
      </c>
    </row>
    <row r="40" ht="23.25" customHeight="1" s="41">
      <c r="A40" s="74" t="inlineStr">
        <is>
          <t>US39</t>
        </is>
      </c>
      <c r="B40" s="74" t="inlineStr">
        <is>
          <t>En tant que décideur, je veux connaître tous les leviers de rentabilité et leur gain annuel afin de savoir où porter l'effort.</t>
        </is>
      </c>
      <c r="C40" s="74" t="inlineStr">
        <is>
          <t>E5</t>
        </is>
      </c>
      <c r="D40" s="74" t="inlineStr">
        <is>
          <t>Sprint 4</t>
        </is>
      </c>
      <c r="E40" s="74" t="inlineStr">
        <is>
          <t>Charges classées en fixes, ajustables et variables, leviers chiffrés par an avec leurs hypothèses, grille de sensibilité quand l'effet sur les ventes est inconnu</t>
        </is>
      </c>
      <c r="F40" s="45" t="inlineStr">
        <is>
          <t>Should</t>
        </is>
      </c>
      <c r="G40" s="74" t="n">
        <v>8</v>
      </c>
      <c r="H40" s="75">
        <f>COUNTIF(Tâches!$B$2:$B$212,A40)</f>
        <v/>
      </c>
      <c r="I40" s="75">
        <f>SUMIF(Tâches!$B$2:$B$212,A40,Tâches!$G$2:$G$212)</f>
        <v/>
      </c>
      <c r="J40" s="75">
        <f>COUNTIFS(Tâches!$B$2:$B$212,A40,Tâches!$I$2:$I$212,"Terminé")</f>
        <v/>
      </c>
      <c r="K40" s="75">
        <f>IF(F40="Won't","Abandonnée",IF(J40+COUNTIFS(Tâches!$B$2:$B$212,A40,Tâches!$I$2:$I$212,"En cours")=0,"À faire",IF(J40+COUNTIFS(Tâches!$B$2:$B$212,A40,Tâches!$I$2:$I$212,"Écartée")&gt;=H40,"Terminée","En cours")))</f>
        <v/>
      </c>
    </row>
    <row r="41" ht="23.25" customHeight="1" s="41">
      <c r="A41" s="74" t="inlineStr">
        <is>
          <t>US40</t>
        </is>
      </c>
      <c r="B41" s="74" t="inlineStr">
        <is>
          <t>En tant que décideur, je veux un modèle des charges selon les ventes afin de prévoir le résultat d'exploitation pour un niveau de ventes donné.</t>
        </is>
      </c>
      <c r="C41" s="74" t="inlineStr">
        <is>
          <t>E6</t>
        </is>
      </c>
      <c r="D41" s="74" t="inlineStr">
        <is>
          <t>Sprint 5</t>
        </is>
      </c>
      <c r="E41" s="74" t="inlineStr">
        <is>
          <t>Part fixe et part variable estimées par compte, modèle validé sur 2021, prévision donnée avec un intervalle</t>
        </is>
      </c>
      <c r="F41" s="45" t="inlineStr">
        <is>
          <t>Should</t>
        </is>
      </c>
      <c r="G41" s="74" t="n">
        <v>5</v>
      </c>
      <c r="H41" s="75">
        <f>COUNTIF(Tâches!$B$2:$B$212,A41)</f>
        <v/>
      </c>
      <c r="I41" s="75">
        <f>SUMIF(Tâches!$B$2:$B$212,A41,Tâches!$G$2:$G$212)</f>
        <v/>
      </c>
      <c r="J41" s="75">
        <f>COUNTIFS(Tâches!$B$2:$B$212,A41,Tâches!$I$2:$I$212,"Terminé")</f>
        <v/>
      </c>
      <c r="K41" s="75">
        <f>IF(F41="Won't","Abandonnée",IF(J41+COUNTIFS(Tâches!$B$2:$B$212,A41,Tâches!$I$2:$I$212,"En cours")=0,"À faire",IF(J41+COUNTIFS(Tâches!$B$2:$B$212,A41,Tâches!$I$2:$I$212,"Écartée")&gt;=H41,"Terminée","En cours")))</f>
        <v/>
      </c>
    </row>
    <row r="42" ht="23.25" customHeight="1" s="41">
      <c r="A42" s="74" t="inlineStr">
        <is>
          <t>US41</t>
        </is>
      </c>
      <c r="B42" s="74" t="inlineStr">
        <is>
          <t>En tant que décideur, je veux une typologie des magasins afin de comprendre ce qui distingue les plus rentables.</t>
        </is>
      </c>
      <c r="C42" s="74" t="inlineStr">
        <is>
          <t>E6</t>
        </is>
      </c>
      <c r="D42" s="74" t="inlineStr">
        <is>
          <t>Sprint 5</t>
        </is>
      </c>
      <c r="E42" s="74" t="inlineStr">
        <is>
          <t>Groupes de magasins interprétés, écart entre les 8 magasins à 21 % de frais généraux et les 46 autres expliqué ou déclaré inexpliqué</t>
        </is>
      </c>
      <c r="F42" s="51" t="inlineStr">
        <is>
          <t>Could</t>
        </is>
      </c>
      <c r="G42" s="74" t="n">
        <v>5</v>
      </c>
      <c r="H42" s="75">
        <f>COUNTIF(Tâches!$B$2:$B$212,A42)</f>
        <v/>
      </c>
      <c r="I42" s="75">
        <f>SUMIF(Tâches!$B$2:$B$212,A42,Tâches!$G$2:$G$212)</f>
        <v/>
      </c>
      <c r="J42" s="75">
        <f>COUNTIFS(Tâches!$B$2:$B$212,A42,Tâches!$I$2:$I$212,"Terminé")</f>
        <v/>
      </c>
      <c r="K42" s="75">
        <f>IF(F42="Won't","Abandonnée",IF(J42+COUNTIFS(Tâches!$B$2:$B$212,A42,Tâches!$I$2:$I$212,"En cours")=0,"À faire",IF(J42+COUNTIFS(Tâches!$B$2:$B$212,A42,Tâches!$I$2:$I$212,"Écartée")&gt;=H42,"Terminée","En cours")))</f>
        <v/>
      </c>
    </row>
    <row r="43" ht="23.25" customHeight="1" s="41">
      <c r="A43" s="74" t="inlineStr">
        <is>
          <t>US42</t>
        </is>
      </c>
      <c r="B43" s="74" t="inlineStr">
        <is>
          <t>En tant qu'utilisateur métier, je veux une application Streamlit reprenant les quatre pages du tableau de bord afin de les consulter sans Power BI.</t>
        </is>
      </c>
      <c r="C43" s="74" t="inlineStr">
        <is>
          <t>E7</t>
        </is>
      </c>
      <c r="D43" s="74" t="inlineStr">
        <is>
          <t>Sprint 5</t>
        </is>
      </c>
      <c r="E43" s="74" t="inlineStr">
        <is>
          <t>Application lancée en une commande, 4 pages (vue d'ensemble, catalogue, magasins et charges, simulateur), chiffres identiques à ceux des notebooks</t>
        </is>
      </c>
      <c r="F43" s="45" t="inlineStr">
        <is>
          <t>Should</t>
        </is>
      </c>
      <c r="G43" s="74" t="n">
        <v>8</v>
      </c>
      <c r="H43" s="75">
        <f>COUNTIF(Tâches!$B$2:$B$212,A43)</f>
        <v/>
      </c>
      <c r="I43" s="75">
        <f>SUMIF(Tâches!$B$2:$B$212,A43,Tâches!$G$2:$G$212)</f>
        <v/>
      </c>
      <c r="J43" s="75">
        <f>COUNTIFS(Tâches!$B$2:$B$212,A43,Tâches!$I$2:$I$212,"Terminé")</f>
        <v/>
      </c>
      <c r="K43" s="75">
        <f>IF(F43="Won't","Abandonnée",IF(J43+COUNTIFS(Tâches!$B$2:$B$212,A43,Tâches!$I$2:$I$212,"En cours")=0,"À faire",IF(J43+COUNTIFS(Tâches!$B$2:$B$212,A43,Tâches!$I$2:$I$212,"Écartée")&gt;=H43,"Terminée","En cours")))</f>
        <v/>
      </c>
    </row>
    <row r="44" ht="15" customHeight="1" s="41">
      <c r="A44" s="74" t="inlineStr">
        <is>
          <t>Total</t>
        </is>
      </c>
      <c r="G44" s="74">
        <f>SUM(G2:G43)</f>
        <v/>
      </c>
      <c r="H44" s="75">
        <f>SUM(H2:H43)</f>
        <v/>
      </c>
      <c r="I44" s="75">
        <f>SUM(I2:I43)</f>
        <v/>
      </c>
      <c r="J44" s="75">
        <f>SUM(J2:J43)</f>
        <v/>
      </c>
      <c r="K44" s="75" t="n"/>
    </row>
    <row r="46" ht="258.95" customHeight="1" s="41">
      <c r="A46" s="77" t="inlineStr">
        <is>
          <t>Points : suite de Fibonacci (1, 2, 3, 5, 8). MoSCoW : Must = indispensable, Should = important, Could = souhaitable. Won't = écarté (voir l'onglet Changements).</t>
        </is>
      </c>
    </row>
    <row r="47" ht="15" customHeight="1" s="41">
      <c r="A47" s="60" t="inlineStr">
        <is>
          <t>Colonnes J et K : calculées à partir de l'onglet Tâches. Terminée = toutes les tâches non écartées sont terminées. Abandonnée = priorité Won't.</t>
        </is>
      </c>
    </row>
  </sheetData>
  <autoFilter ref="A1:K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L2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0" min="1" max="1"/>
    <col width="8" customWidth="1" style="40" min="2" max="2"/>
    <col width="28" customWidth="1" style="40" min="3" max="3"/>
    <col width="10" customWidth="1" style="40" min="4" max="4"/>
    <col width="70" customWidth="1" style="40" min="5" max="5"/>
    <col width="24" customWidth="1" style="40" min="6" max="6"/>
    <col width="12" customWidth="1" style="40" min="7" max="7"/>
    <col width="16" customWidth="1" style="40" min="8" max="8"/>
    <col width="12" customWidth="1" style="40" min="9" max="9"/>
    <col width="16" customWidth="1" style="40" min="10" max="10"/>
    <col width="16" customWidth="1" style="40" min="11" max="11"/>
    <col width="62" customWidth="1" style="40" min="12" max="12"/>
  </cols>
  <sheetData>
    <row r="1" ht="23.25" customHeight="1" s="41">
      <c r="A1" s="44" t="inlineStr">
        <is>
          <t>ID tâche</t>
        </is>
      </c>
      <c r="B1" s="44" t="inlineStr">
        <is>
          <t>ID US</t>
        </is>
      </c>
      <c r="C1" s="44" t="inlineStr">
        <is>
          <t>Épopée</t>
        </is>
      </c>
      <c r="D1" s="44" t="inlineStr">
        <is>
          <t>Sprint</t>
        </is>
      </c>
      <c r="E1" s="44" t="inlineStr">
        <is>
          <t>Tâche</t>
        </is>
      </c>
      <c r="F1" s="44" t="inlineStr">
        <is>
          <t>Outil</t>
        </is>
      </c>
      <c r="G1" s="44" t="inlineStr">
        <is>
          <t>Estimation (h)</t>
        </is>
      </c>
      <c r="H1" s="44" t="inlineStr">
        <is>
          <t>Responsable</t>
        </is>
      </c>
      <c r="I1" s="44" t="inlineStr">
        <is>
          <t>Statut</t>
        </is>
      </c>
      <c r="J1" s="44" t="inlineStr">
        <is>
          <t>Date de fin prévue</t>
        </is>
      </c>
      <c r="K1" s="44" t="inlineStr">
        <is>
          <t>Date de fin réelle</t>
        </is>
      </c>
      <c r="L1" s="44" t="inlineStr">
        <is>
          <t>Commentaire (mise à jour du 7 oct. 2026)</t>
        </is>
      </c>
    </row>
    <row r="2" ht="15" customHeight="1" s="41">
      <c r="A2" s="45" t="inlineStr">
        <is>
          <t>T001</t>
        </is>
      </c>
      <c r="B2" s="45" t="inlineStr">
        <is>
          <t>US01</t>
        </is>
      </c>
      <c r="C2" s="45" t="inlineStr">
        <is>
          <t>E0 Gestion de projet Scrum</t>
        </is>
      </c>
      <c r="D2" s="45" t="inlineStr">
        <is>
          <t>Sprint 0</t>
        </is>
      </c>
      <c r="E2" s="45" t="inlineStr">
        <is>
          <t>Définir les rôles : Product Owner, Scrum Master, développeurs</t>
        </is>
      </c>
      <c r="F2" s="45" t="inlineStr">
        <is>
          <t>Réunion</t>
        </is>
      </c>
      <c r="G2" s="45" t="n">
        <v>1</v>
      </c>
      <c r="H2" s="78" t="inlineStr">
        <is>
          <t>Toute l'équipe</t>
        </is>
      </c>
      <c r="I2" s="78" t="inlineStr">
        <is>
          <t>Terminé</t>
        </is>
      </c>
      <c r="J2" s="45" t="inlineStr">
        <is>
          <t>4 oct. 2026</t>
        </is>
      </c>
      <c r="K2" s="45" t="n"/>
      <c r="L2" s="45" t="n"/>
    </row>
    <row r="3" ht="15" customHeight="1" s="41">
      <c r="A3" s="45" t="inlineStr">
        <is>
          <t>T002</t>
        </is>
      </c>
      <c r="B3" s="45" t="inlineStr">
        <is>
          <t>US01</t>
        </is>
      </c>
      <c r="C3" s="45" t="inlineStr">
        <is>
          <t>E0 Gestion de projet Scrum</t>
        </is>
      </c>
      <c r="D3" s="45" t="inlineStr">
        <is>
          <t>Sprint 0</t>
        </is>
      </c>
      <c r="E3" s="45" t="inlineStr">
        <is>
          <t>Créer le projet dans Jira ou GitHub Projects et inviter l'équipe</t>
        </is>
      </c>
      <c r="F3" s="45" t="inlineStr">
        <is>
          <t>Jira / GitHub Projects</t>
        </is>
      </c>
      <c r="G3" s="45" t="n">
        <v>1</v>
      </c>
      <c r="H3" s="78" t="inlineStr">
        <is>
          <t>Achraf</t>
        </is>
      </c>
      <c r="I3" s="78" t="inlineStr">
        <is>
          <t>Terminé</t>
        </is>
      </c>
      <c r="J3" s="45" t="inlineStr">
        <is>
          <t>4 oct. 2026</t>
        </is>
      </c>
      <c r="K3" s="45" t="n"/>
      <c r="L3" s="45" t="n"/>
    </row>
    <row r="4" ht="15" customHeight="1" s="41">
      <c r="A4" s="45" t="inlineStr">
        <is>
          <t>T003</t>
        </is>
      </c>
      <c r="B4" s="45" t="inlineStr">
        <is>
          <t>US01</t>
        </is>
      </c>
      <c r="C4" s="45" t="inlineStr">
        <is>
          <t>E0 Gestion de projet Scrum</t>
        </is>
      </c>
      <c r="D4" s="45" t="inlineStr">
        <is>
          <t>Sprint 0</t>
        </is>
      </c>
      <c r="E4" s="45" t="inlineStr">
        <is>
          <t>Rédiger la Definition of Done et les conventions (nommage, branches, notebooks)</t>
        </is>
      </c>
      <c r="F4" s="45" t="inlineStr">
        <is>
          <t>Word / GitHub</t>
        </is>
      </c>
      <c r="G4" s="45" t="n">
        <v>1.5</v>
      </c>
      <c r="H4" s="78" t="inlineStr">
        <is>
          <t>Achraf</t>
        </is>
      </c>
      <c r="I4" s="78" t="inlineStr">
        <is>
          <t>Terminé</t>
        </is>
      </c>
      <c r="J4" s="45" t="inlineStr">
        <is>
          <t>4 oct. 2026</t>
        </is>
      </c>
      <c r="K4" s="45" t="n"/>
      <c r="L4" s="45" t="n"/>
    </row>
    <row r="5" ht="23.25" customHeight="1" s="41">
      <c r="A5" s="45" t="inlineStr">
        <is>
          <t>T004</t>
        </is>
      </c>
      <c r="B5" s="45" t="inlineStr">
        <is>
          <t>US33</t>
        </is>
      </c>
      <c r="C5" s="45" t="inlineStr">
        <is>
          <t>E2 Intégration et modélisation (ETL)</t>
        </is>
      </c>
      <c r="D5" s="45" t="inlineStr">
        <is>
          <t>Sprint 0</t>
        </is>
      </c>
      <c r="E5" s="45" t="inlineStr">
        <is>
          <t>Définir l'arborescence du dépôt (data : raw, interim, clean, outputs ; notebooks par phase ; src ; tests ; dashboards ; reports)</t>
        </is>
      </c>
      <c r="F5" s="45" t="inlineStr">
        <is>
          <t>GitHub</t>
        </is>
      </c>
      <c r="G5" s="45" t="n">
        <v>1</v>
      </c>
      <c r="H5" s="78" t="inlineStr">
        <is>
          <t>Yacine</t>
        </is>
      </c>
      <c r="I5" s="78" t="inlineStr">
        <is>
          <t>Terminé</t>
        </is>
      </c>
      <c r="J5" s="45" t="inlineStr">
        <is>
          <t>4 oct. 2026</t>
        </is>
      </c>
      <c r="K5" s="45" t="n"/>
      <c r="L5" s="45" t="n"/>
    </row>
    <row r="6" ht="23.25" customHeight="1" s="41">
      <c r="A6" s="45" t="inlineStr">
        <is>
          <t>T005</t>
        </is>
      </c>
      <c r="B6" s="45" t="inlineStr">
        <is>
          <t>US33</t>
        </is>
      </c>
      <c r="C6" s="45" t="inlineStr">
        <is>
          <t>E2 Intégration et modélisation (ETL)</t>
        </is>
      </c>
      <c r="D6" s="45" t="inlineStr">
        <is>
          <t>Sprint 0</t>
        </is>
      </c>
      <c r="E6" s="45" t="inlineStr">
        <is>
          <t>Créer les squelettes des 16 notebooks numérotés (00 à 15) avec leurs sections et un responsable par notebook</t>
        </is>
      </c>
      <c r="F6" s="45" t="inlineStr">
        <is>
          <t>Jupyter</t>
        </is>
      </c>
      <c r="G6" s="45" t="n">
        <v>1.5</v>
      </c>
      <c r="H6" s="78" t="inlineStr">
        <is>
          <t>Yacine</t>
        </is>
      </c>
      <c r="I6" s="78" t="inlineStr">
        <is>
          <t>Terminé</t>
        </is>
      </c>
      <c r="J6" s="45" t="inlineStr">
        <is>
          <t>4 oct. 2026</t>
        </is>
      </c>
      <c r="K6" s="45" t="n"/>
      <c r="L6" s="45" t="n"/>
    </row>
    <row r="7" ht="23.25" customHeight="1" s="41">
      <c r="A7" s="45" t="inlineStr">
        <is>
          <t>T006</t>
        </is>
      </c>
      <c r="B7" s="45" t="inlineStr">
        <is>
          <t>US33</t>
        </is>
      </c>
      <c r="C7" s="45" t="inlineStr">
        <is>
          <t>E2 Intégration et modélisation (ETL)</t>
        </is>
      </c>
      <c r="D7" s="45" t="inlineStr">
        <is>
          <t>Sprint 0</t>
        </is>
      </c>
      <c r="E7" s="45" t="inlineStr">
        <is>
          <t>Configurer l'environnement (.venv, requirements.txt, config.py, .gitignore, README)</t>
        </is>
      </c>
      <c r="F7" s="45" t="inlineStr">
        <is>
          <t>Python / Git</t>
        </is>
      </c>
      <c r="G7" s="45" t="n">
        <v>1</v>
      </c>
      <c r="H7" s="78" t="inlineStr">
        <is>
          <t>Yacine</t>
        </is>
      </c>
      <c r="I7" s="78" t="inlineStr">
        <is>
          <t>Terminé</t>
        </is>
      </c>
      <c r="J7" s="45" t="inlineStr">
        <is>
          <t>4 oct. 2026</t>
        </is>
      </c>
      <c r="K7" s="45" t="n"/>
      <c r="L7" s="45" t="n"/>
    </row>
    <row r="8" ht="23.25" customHeight="1" s="41">
      <c r="A8" s="45" t="inlineStr">
        <is>
          <t>T007</t>
        </is>
      </c>
      <c r="B8" s="45" t="inlineStr">
        <is>
          <t>US33</t>
        </is>
      </c>
      <c r="C8" s="45" t="inlineStr">
        <is>
          <t>E2 Intégration et modélisation (ETL)</t>
        </is>
      </c>
      <c r="D8" s="45" t="inlineStr">
        <is>
          <t>Sprint 0</t>
        </is>
      </c>
      <c r="E8" s="45" t="inlineStr">
        <is>
          <t>Créer la charte graphique commune (src/viz.py : couleurs, police, format des montants, enregistrement des figures)</t>
        </is>
      </c>
      <c r="F8" s="45" t="inlineStr">
        <is>
          <t>Python (matplotlib)</t>
        </is>
      </c>
      <c r="G8" s="45" t="n">
        <v>1</v>
      </c>
      <c r="H8" s="78" t="inlineStr">
        <is>
          <t>Yacine</t>
        </is>
      </c>
      <c r="I8" s="78" t="inlineStr">
        <is>
          <t>Terminé</t>
        </is>
      </c>
      <c r="J8" s="45" t="inlineStr">
        <is>
          <t>4 oct. 2026</t>
        </is>
      </c>
      <c r="K8" s="45" t="n"/>
      <c r="L8" s="45" t="n"/>
    </row>
    <row r="9" ht="23.25" customHeight="1" s="41">
      <c r="A9" s="45" t="inlineStr">
        <is>
          <t>T008</t>
        </is>
      </c>
      <c r="B9" s="45" t="inlineStr">
        <is>
          <t>US02</t>
        </is>
      </c>
      <c r="C9" s="45" t="inlineStr">
        <is>
          <t>E1 Collecte et recherche de données</t>
        </is>
      </c>
      <c r="D9" s="45" t="inlineStr">
        <is>
          <t>Sprint 0</t>
        </is>
      </c>
      <c r="E9" s="45" t="inlineStr">
        <is>
          <t>Charger chaque fichier trimestriel et relever lignes, colonnes, types et période couverte (00_inventaire)</t>
        </is>
      </c>
      <c r="F9" s="45" t="inlineStr">
        <is>
          <t>Python (pandas)</t>
        </is>
      </c>
      <c r="G9" s="45" t="n">
        <v>2</v>
      </c>
      <c r="H9" s="78" t="inlineStr">
        <is>
          <t>Yacine</t>
        </is>
      </c>
      <c r="I9" s="78" t="inlineStr">
        <is>
          <t>Terminé</t>
        </is>
      </c>
      <c r="J9" s="45" t="inlineStr">
        <is>
          <t>4 oct. 2026</t>
        </is>
      </c>
      <c r="K9" s="45" t="n"/>
      <c r="L9" s="45" t="n"/>
    </row>
    <row r="10" ht="23.25" customHeight="1" s="41">
      <c r="A10" s="45" t="inlineStr">
        <is>
          <t>T009</t>
        </is>
      </c>
      <c r="B10" s="45" t="inlineStr">
        <is>
          <t>US02</t>
        </is>
      </c>
      <c r="C10" s="45" t="inlineStr">
        <is>
          <t>E1 Collecte et recherche de données</t>
        </is>
      </c>
      <c r="D10" s="45" t="inlineStr">
        <is>
          <t>Sprint 0</t>
        </is>
      </c>
      <c r="E10" s="45" t="inlineStr">
        <is>
          <t>Vérifier la présence des 8 trimestres 2020 et 2021 et la continuité des dates (6 présents : T4 2020 et 2021 absents)</t>
        </is>
      </c>
      <c r="F10" s="45" t="inlineStr">
        <is>
          <t>Python (pandas)</t>
        </is>
      </c>
      <c r="G10" s="45" t="n">
        <v>1</v>
      </c>
      <c r="H10" s="78" t="inlineStr">
        <is>
          <t>Yacine</t>
        </is>
      </c>
      <c r="I10" s="78" t="inlineStr">
        <is>
          <t>Terminé</t>
        </is>
      </c>
      <c r="J10" s="45" t="inlineStr">
        <is>
          <t>4 oct. 2026</t>
        </is>
      </c>
      <c r="K10" s="45" t="n"/>
      <c r="L10" s="45" t="n"/>
    </row>
    <row r="11" ht="23.25" customHeight="1" s="41">
      <c r="A11" s="45" t="inlineStr">
        <is>
          <t>T010</t>
        </is>
      </c>
      <c r="B11" s="45" t="inlineStr">
        <is>
          <t>US02</t>
        </is>
      </c>
      <c r="C11" s="45" t="inlineStr">
        <is>
          <t>E1 Collecte et recherche de données</t>
        </is>
      </c>
      <c r="D11" s="45" t="inlineStr">
        <is>
          <t>Sprint 0</t>
        </is>
      </c>
      <c r="E11" s="45" t="inlineStr">
        <is>
          <t>Rédiger le dictionnaire de données initial des 14 variables (dictionnaire_donnees.xlsx)</t>
        </is>
      </c>
      <c r="F11" s="45" t="inlineStr">
        <is>
          <t>Excel</t>
        </is>
      </c>
      <c r="G11" s="45" t="n">
        <v>2</v>
      </c>
      <c r="H11" s="78" t="inlineStr">
        <is>
          <t>Barnabé</t>
        </is>
      </c>
      <c r="I11" s="78" t="inlineStr">
        <is>
          <t>Terminé</t>
        </is>
      </c>
      <c r="J11" s="45" t="inlineStr">
        <is>
          <t>4 oct. 2026</t>
        </is>
      </c>
      <c r="K11" s="45" t="n"/>
      <c r="L11" s="45" t="n"/>
    </row>
    <row r="12" ht="23.25" customHeight="1" s="41">
      <c r="A12" s="45" t="inlineStr">
        <is>
          <t>T011</t>
        </is>
      </c>
      <c r="B12" s="45" t="inlineStr">
        <is>
          <t>US03</t>
        </is>
      </c>
      <c r="C12" s="45" t="inlineStr">
        <is>
          <t>E1 Collecte et recherche de données</t>
        </is>
      </c>
      <c r="D12" s="45" t="inlineStr">
        <is>
          <t>Sprint 0</t>
        </is>
      </c>
      <c r="E12" s="45" t="inlineStr">
        <is>
          <t>Lister les dimensions et informations manquantes (boutique, produit, promotion, client, retours, stocks, charges)</t>
        </is>
      </c>
      <c r="F12" s="45" t="inlineStr">
        <is>
          <t>Excel</t>
        </is>
      </c>
      <c r="G12" s="45" t="n">
        <v>1.5</v>
      </c>
      <c r="H12" s="78" t="inlineStr">
        <is>
          <t>Barnabé</t>
        </is>
      </c>
      <c r="I12" s="78" t="inlineStr">
        <is>
          <t>Terminé</t>
        </is>
      </c>
      <c r="J12" s="45" t="inlineStr">
        <is>
          <t>4 oct. 2026</t>
        </is>
      </c>
      <c r="K12" s="45" t="n"/>
      <c r="L12" s="45" t="n"/>
    </row>
    <row r="13" ht="23.25" customHeight="1" s="41">
      <c r="A13" s="45" t="inlineStr">
        <is>
          <t>T012</t>
        </is>
      </c>
      <c r="B13" s="45" t="inlineStr">
        <is>
          <t>US03</t>
        </is>
      </c>
      <c r="C13" s="45" t="inlineStr">
        <is>
          <t>E1 Collecte et recherche de données</t>
        </is>
      </c>
      <c r="D13" s="45" t="inlineStr">
        <is>
          <t>Sprint 0</t>
        </is>
      </c>
      <c r="E13" s="45" t="inlineStr">
        <is>
          <t>Évaluer l'impact de chaque manque sur les questions Q1 à Q5</t>
        </is>
      </c>
      <c r="F13" s="45" t="inlineStr">
        <is>
          <t>Excel</t>
        </is>
      </c>
      <c r="G13" s="45" t="n">
        <v>1.5</v>
      </c>
      <c r="H13" s="78" t="inlineStr">
        <is>
          <t>Barnabé</t>
        </is>
      </c>
      <c r="I13" s="78" t="inlineStr">
        <is>
          <t>Terminé</t>
        </is>
      </c>
      <c r="J13" s="45" t="inlineStr">
        <is>
          <t>4 oct. 2026</t>
        </is>
      </c>
      <c r="K13" s="45" t="n"/>
      <c r="L13" s="45" t="n"/>
    </row>
    <row r="14" ht="23.25" customHeight="1" s="41">
      <c r="A14" s="45" t="inlineStr">
        <is>
          <t>T013</t>
        </is>
      </c>
      <c r="B14" s="45" t="inlineStr">
        <is>
          <t>US03</t>
        </is>
      </c>
      <c r="C14" s="45" t="inlineStr">
        <is>
          <t>E1 Collecte et recherche de données</t>
        </is>
      </c>
      <c r="D14" s="45" t="inlineStr">
        <is>
          <t>Sprint 0</t>
        </is>
      </c>
      <c r="E14" s="45" t="inlineStr">
        <is>
          <t>Envoyer la demande au professeur sur les tables de dimension</t>
        </is>
      </c>
      <c r="F14" s="45" t="inlineStr">
        <is>
          <t>Courriel</t>
        </is>
      </c>
      <c r="G14" s="45" t="n">
        <v>0.5</v>
      </c>
      <c r="H14" s="78" t="inlineStr">
        <is>
          <t>Yacine</t>
        </is>
      </c>
      <c r="I14" s="78" t="inlineStr">
        <is>
          <t>Terminé</t>
        </is>
      </c>
      <c r="J14" s="45" t="inlineStr">
        <is>
          <t>4 oct. 2026</t>
        </is>
      </c>
      <c r="K14" s="45" t="n"/>
      <c r="L14" s="45" t="n"/>
    </row>
    <row r="15" ht="23.25" customHeight="1" s="41">
      <c r="A15" s="45" t="inlineStr">
        <is>
          <t>T014</t>
        </is>
      </c>
      <c r="B15" s="45" t="inlineStr">
        <is>
          <t>US04</t>
        </is>
      </c>
      <c r="C15" s="45" t="inlineStr">
        <is>
          <t>E1 Collecte et recherche de données</t>
        </is>
      </c>
      <c r="D15" s="45" t="inlineStr">
        <is>
          <t>Sprint 0</t>
        </is>
      </c>
      <c r="E15" s="45" t="inlineStr">
        <is>
          <t>Rechercher et télécharger la base Contoso Retail DW (Microsoft, ContosoBIdemoBAK)</t>
        </is>
      </c>
      <c r="F15" s="45" t="inlineStr">
        <is>
          <t>Web</t>
        </is>
      </c>
      <c r="G15" s="45" t="n">
        <v>1</v>
      </c>
      <c r="H15" s="78" t="inlineStr">
        <is>
          <t>Yacine</t>
        </is>
      </c>
      <c r="I15" s="78" t="inlineStr">
        <is>
          <t>Terminé</t>
        </is>
      </c>
      <c r="J15" s="45" t="inlineStr">
        <is>
          <t>4 oct. 2026</t>
        </is>
      </c>
      <c r="K15" s="45" t="n"/>
      <c r="L15" s="45" t="n"/>
    </row>
    <row r="16" ht="23.25" customHeight="1" s="41">
      <c r="A16" s="45" t="inlineStr">
        <is>
          <t>T015</t>
        </is>
      </c>
      <c r="B16" s="45" t="inlineStr">
        <is>
          <t>US04</t>
        </is>
      </c>
      <c r="C16" s="45" t="inlineStr">
        <is>
          <t>E1 Collecte et recherche de données</t>
        </is>
      </c>
      <c r="D16" s="45" t="inlineStr">
        <is>
          <t>Sprint 0</t>
        </is>
      </c>
      <c r="E16" s="45" t="inlineStr">
        <is>
          <t>Restaurer la base ContosoRetailDW (.bak) dans SQL Server Express</t>
        </is>
      </c>
      <c r="F16" s="45" t="inlineStr">
        <is>
          <t>SQL Server / SSMS</t>
        </is>
      </c>
      <c r="G16" s="45" t="n">
        <v>1.5</v>
      </c>
      <c r="H16" s="78" t="inlineStr">
        <is>
          <t>Yacine</t>
        </is>
      </c>
      <c r="I16" s="78" t="inlineStr">
        <is>
          <t>Terminé</t>
        </is>
      </c>
      <c r="J16" s="45" t="inlineStr">
        <is>
          <t>4 oct. 2026</t>
        </is>
      </c>
      <c r="K16" s="45" t="n"/>
      <c r="L16" s="45" t="n"/>
    </row>
    <row r="17" ht="23.25" customHeight="1" s="41">
      <c r="A17" s="45" t="inlineStr">
        <is>
          <t>T016</t>
        </is>
      </c>
      <c r="B17" s="45" t="inlineStr">
        <is>
          <t>US04</t>
        </is>
      </c>
      <c r="C17" s="45" t="inlineStr">
        <is>
          <t>E1 Collecte et recherche de données</t>
        </is>
      </c>
      <c r="D17" s="45" t="inlineStr">
        <is>
          <t>Sprint 0</t>
        </is>
      </c>
      <c r="E17" s="45" t="inlineStr">
        <is>
          <t>Connecter Python à SQL Server (pyodbc, SQLAlchemy) et extraire les tables en CSV (colonnes géographiques converties en texte)</t>
        </is>
      </c>
      <c r="F17" s="45" t="inlineStr">
        <is>
          <t>Python (pandas, pyodbc)</t>
        </is>
      </c>
      <c r="G17" s="45" t="n">
        <v>2</v>
      </c>
      <c r="H17" s="78" t="inlineStr">
        <is>
          <t>Yacine</t>
        </is>
      </c>
      <c r="I17" s="78" t="inlineStr">
        <is>
          <t>Terminé</t>
        </is>
      </c>
      <c r="J17" s="45" t="inlineStr">
        <is>
          <t>4 oct. 2026</t>
        </is>
      </c>
      <c r="K17" s="45" t="n"/>
      <c r="L17" s="45" t="n"/>
    </row>
    <row r="18" ht="23.25" customHeight="1" s="41">
      <c r="A18" s="45" t="inlineStr">
        <is>
          <t>T017</t>
        </is>
      </c>
      <c r="B18" s="45" t="inlineStr">
        <is>
          <t>US04</t>
        </is>
      </c>
      <c r="C18" s="45" t="inlineStr">
        <is>
          <t>E1 Collecte et recherche de données</t>
        </is>
      </c>
      <c r="D18" s="45" t="inlineStr">
        <is>
          <t>Sprint 0</t>
        </is>
      </c>
      <c r="E18" s="45" t="inlineStr">
        <is>
          <t>Vérifier l'origine des données : IdVente retrouvés dans FactSales (IdVente = SalesKey), décalage des dates mesuré (12 ans)</t>
        </is>
      </c>
      <c r="F18" s="45" t="inlineStr">
        <is>
          <t>Python / SQL</t>
        </is>
      </c>
      <c r="G18" s="45" t="n">
        <v>1</v>
      </c>
      <c r="H18" s="78" t="inlineStr">
        <is>
          <t>Yacine</t>
        </is>
      </c>
      <c r="I18" s="78" t="inlineStr">
        <is>
          <t>Terminé</t>
        </is>
      </c>
      <c r="J18" s="45" t="inlineStr">
        <is>
          <t>4 oct. 2026</t>
        </is>
      </c>
      <c r="K18" s="45" t="n"/>
      <c r="L18" s="45" t="n"/>
    </row>
    <row r="19" ht="23.25" customHeight="1" s="41">
      <c r="A19" s="45" t="inlineStr">
        <is>
          <t>T018</t>
        </is>
      </c>
      <c r="B19" s="45" t="inlineStr">
        <is>
          <t>US04</t>
        </is>
      </c>
      <c r="C19" s="45" t="inlineStr">
        <is>
          <t>E1 Collecte et recherche de données</t>
        </is>
      </c>
      <c r="D19" s="45" t="inlineStr">
        <is>
          <t>Sprint 0</t>
        </is>
      </c>
      <c r="E19" s="45" t="inlineStr">
        <is>
          <t>Analyser les clés étrangères de la base (sys.foreign_keys) et construire l'arborescence des jointures</t>
        </is>
      </c>
      <c r="F19" s="45" t="inlineStr">
        <is>
          <t>SQL</t>
        </is>
      </c>
      <c r="G19" s="45" t="n">
        <v>1</v>
      </c>
      <c r="H19" s="78" t="inlineStr">
        <is>
          <t>Yacine</t>
        </is>
      </c>
      <c r="I19" s="78" t="inlineStr">
        <is>
          <t>Terminé</t>
        </is>
      </c>
      <c r="J19" s="45" t="inlineStr">
        <is>
          <t>4 oct. 2026</t>
        </is>
      </c>
      <c r="K19" s="45" t="n"/>
      <c r="L19" s="45" t="n"/>
    </row>
    <row r="20" ht="23.25" customHeight="1" s="41">
      <c r="A20" s="45" t="inlineStr">
        <is>
          <t>T019</t>
        </is>
      </c>
      <c r="B20" s="45" t="inlineStr">
        <is>
          <t>US04</t>
        </is>
      </c>
      <c r="C20" s="45" t="inlineStr">
        <is>
          <t>E1 Collecte et recherche de données</t>
        </is>
      </c>
      <c r="D20" s="45" t="inlineStr">
        <is>
          <t>Sprint 0</t>
        </is>
      </c>
      <c r="E20" s="45" t="inlineStr">
        <is>
          <t>Sélectionner les tables utiles (8 sur 17) et justifier la sélection par les questions Q1 à Q5</t>
        </is>
      </c>
      <c r="F20" s="45" t="inlineStr">
        <is>
          <t>Réunion / Word</t>
        </is>
      </c>
      <c r="G20" s="45" t="n">
        <v>1</v>
      </c>
      <c r="H20" s="78" t="inlineStr">
        <is>
          <t>Yacine</t>
        </is>
      </c>
      <c r="I20" s="78" t="inlineStr">
        <is>
          <t>Terminé</t>
        </is>
      </c>
      <c r="J20" s="45" t="inlineStr">
        <is>
          <t>4 oct. 2026</t>
        </is>
      </c>
      <c r="K20" s="45" t="n"/>
      <c r="L20" s="45" t="n"/>
    </row>
    <row r="21" ht="23.25" customHeight="1" s="41">
      <c r="A21" s="45" t="inlineStr">
        <is>
          <t>T020</t>
        </is>
      </c>
      <c r="B21" s="45" t="inlineStr">
        <is>
          <t>US04</t>
        </is>
      </c>
      <c r="C21" s="45" t="inlineStr">
        <is>
          <t>E1 Collecte et recherche de données</t>
        </is>
      </c>
      <c r="D21" s="45" t="inlineStr">
        <is>
          <t>Sprint 0</t>
        </is>
      </c>
      <c r="E21" s="45" t="inlineStr">
        <is>
          <t>Récupérer le canal et la devise de chaque vente depuis FactSales (3 canaux, 1 seule devise)</t>
        </is>
      </c>
      <c r="F21" s="45" t="inlineStr">
        <is>
          <t>Python / SQL</t>
        </is>
      </c>
      <c r="G21" s="45" t="n">
        <v>1</v>
      </c>
      <c r="H21" s="78" t="inlineStr">
        <is>
          <t>Yacine</t>
        </is>
      </c>
      <c r="I21" s="78" t="inlineStr">
        <is>
          <t>Terminé</t>
        </is>
      </c>
      <c r="J21" s="45" t="inlineStr">
        <is>
          <t>4 oct. 2026</t>
        </is>
      </c>
      <c r="K21" s="45" t="n"/>
      <c r="L21" s="45" t="n"/>
    </row>
    <row r="22" ht="23.25" customHeight="1" s="41">
      <c r="A22" s="45" t="inlineStr">
        <is>
          <t>T021</t>
        </is>
      </c>
      <c r="B22" s="45" t="inlineStr">
        <is>
          <t>US04</t>
        </is>
      </c>
      <c r="C22" s="45" t="inlineStr">
        <is>
          <t>E1 Collecte et recherche de données</t>
        </is>
      </c>
      <c r="D22" s="45" t="inlineStr">
        <is>
          <t>Sprint 0</t>
        </is>
      </c>
      <c r="E22" s="45" t="inlineStr">
        <is>
          <t>Mesurer le taux de correspondance des clés sur toutes les lignes des fichiers de ventes (100 %)</t>
        </is>
      </c>
      <c r="F22" s="45" t="inlineStr">
        <is>
          <t>Python (pandas)</t>
        </is>
      </c>
      <c r="G22" s="45" t="n">
        <v>2</v>
      </c>
      <c r="H22" s="78" t="inlineStr">
        <is>
          <t>Yacine</t>
        </is>
      </c>
      <c r="I22" s="78" t="inlineStr">
        <is>
          <t>Terminé</t>
        </is>
      </c>
      <c r="J22" s="45" t="inlineStr">
        <is>
          <t>4 oct. 2026</t>
        </is>
      </c>
      <c r="K22" s="45" t="n"/>
      <c r="L22" s="45" t="n"/>
    </row>
    <row r="23" ht="23.25" customHeight="1" s="41">
      <c r="A23" s="45" t="inlineStr">
        <is>
          <t>T022</t>
        </is>
      </c>
      <c r="B23" s="45" t="inlineStr">
        <is>
          <t>US04</t>
        </is>
      </c>
      <c r="C23" s="45" t="inlineStr">
        <is>
          <t>E1 Collecte et recherche de données</t>
        </is>
      </c>
      <c r="D23" s="45" t="inlineStr">
        <is>
          <t>Sprint 0</t>
        </is>
      </c>
      <c r="E23" s="45" t="inlineStr">
        <is>
          <t>Évaluer FactInventory (stocks) comme source complémentaire pour la démarque</t>
        </is>
      </c>
      <c r="F23" s="45" t="inlineStr">
        <is>
          <t>Python / SQL</t>
        </is>
      </c>
      <c r="G23" s="45" t="n">
        <v>1.5</v>
      </c>
      <c r="H23" s="78" t="inlineStr">
        <is>
          <t>Yacine</t>
        </is>
      </c>
      <c r="I23" s="78" t="inlineStr">
        <is>
          <t>Écartée</t>
        </is>
      </c>
      <c r="J23" s="45" t="inlineStr">
        <is>
          <t>4 oct. 2026</t>
        </is>
      </c>
      <c r="K23" s="45" t="n"/>
      <c r="L23" s="45" t="n"/>
    </row>
    <row r="24" ht="23.25" customHeight="1" s="41">
      <c r="A24" s="45" t="inlineStr">
        <is>
          <t>T023</t>
        </is>
      </c>
      <c r="B24" s="45" t="inlineStr">
        <is>
          <t>US04</t>
        </is>
      </c>
      <c r="C24" s="45" t="inlineStr">
        <is>
          <t>E1 Collecte et recherche de données</t>
        </is>
      </c>
      <c r="D24" s="45" t="inlineStr">
        <is>
          <t>Sprint 0</t>
        </is>
      </c>
      <c r="E24" s="45" t="inlineStr">
        <is>
          <t>Documenter les sources, versions, conditions d'utilisation et la démarche de collecte</t>
        </is>
      </c>
      <c r="F24" s="45" t="inlineStr">
        <is>
          <t>Word</t>
        </is>
      </c>
      <c r="G24" s="45" t="n">
        <v>1</v>
      </c>
      <c r="H24" s="78" t="inlineStr">
        <is>
          <t>Mouncif</t>
        </is>
      </c>
      <c r="I24" s="78" t="inlineStr">
        <is>
          <t>En cours</t>
        </is>
      </c>
      <c r="J24" s="45" t="inlineStr">
        <is>
          <t>4 oct. 2026</t>
        </is>
      </c>
      <c r="K24" s="45" t="n"/>
      <c r="L24" s="45" t="n"/>
    </row>
    <row r="25" ht="23.25" customHeight="1" s="41">
      <c r="A25" s="45" t="inlineStr">
        <is>
          <t>T024</t>
        </is>
      </c>
      <c r="B25" s="45" t="inlineStr">
        <is>
          <t>US05</t>
        </is>
      </c>
      <c r="C25" s="45" t="inlineStr">
        <is>
          <t>E1 Collecte et recherche de données</t>
        </is>
      </c>
      <c r="D25" s="45" t="inlineStr">
        <is>
          <t>Sprint 0</t>
        </is>
      </c>
      <c r="E25" s="45" t="inlineStr">
        <is>
          <t>Collecter les jours fériés 2020 et 2021 des pays des boutiques</t>
        </is>
      </c>
      <c r="F25" s="45" t="inlineStr">
        <is>
          <t>Web / Python</t>
        </is>
      </c>
      <c r="G25" s="45" t="n">
        <v>1.5</v>
      </c>
      <c r="H25" s="78" t="inlineStr">
        <is>
          <t>Mouncif</t>
        </is>
      </c>
      <c r="I25" s="78" t="inlineStr">
        <is>
          <t>Terminé</t>
        </is>
      </c>
      <c r="J25" s="45" t="inlineStr">
        <is>
          <t>4 oct. 2026</t>
        </is>
      </c>
      <c r="K25" s="45" t="n"/>
      <c r="L25" s="45" t="n"/>
    </row>
    <row r="26" ht="23.25" customHeight="1" s="41">
      <c r="A26" s="45" t="inlineStr">
        <is>
          <t>T025</t>
        </is>
      </c>
      <c r="B26" s="45" t="inlineStr">
        <is>
          <t>US05</t>
        </is>
      </c>
      <c r="C26" s="45" t="inlineStr">
        <is>
          <t>E1 Collecte et recherche de données</t>
        </is>
      </c>
      <c r="D26" s="45" t="inlineStr">
        <is>
          <t>Sprint 0</t>
        </is>
      </c>
      <c r="E26" s="45" t="inlineStr">
        <is>
          <t>Collecter les périodes de confinement COVID-19 par pays</t>
        </is>
      </c>
      <c r="F26" s="45" t="inlineStr">
        <is>
          <t>Web</t>
        </is>
      </c>
      <c r="G26" s="45" t="n">
        <v>2</v>
      </c>
      <c r="H26" s="78" t="inlineStr">
        <is>
          <t>Mouncif</t>
        </is>
      </c>
      <c r="I26" s="78" t="inlineStr">
        <is>
          <t>Terminé</t>
        </is>
      </c>
      <c r="J26" s="45" t="inlineStr">
        <is>
          <t>4 oct. 2026</t>
        </is>
      </c>
      <c r="K26" s="45" t="n"/>
      <c r="L26" s="45" t="n"/>
    </row>
    <row r="27" ht="15" customHeight="1" s="41">
      <c r="A27" s="45" t="inlineStr">
        <is>
          <t>T026</t>
        </is>
      </c>
      <c r="B27" s="45" t="inlineStr">
        <is>
          <t>US06</t>
        </is>
      </c>
      <c r="C27" s="45" t="inlineStr">
        <is>
          <t>E0 Gestion de projet Scrum</t>
        </is>
      </c>
      <c r="D27" s="45" t="inlineStr">
        <is>
          <t>Sprint 0</t>
        </is>
      </c>
      <c r="E27" s="45" t="inlineStr">
        <is>
          <t>Définir les phases et jalons du projet</t>
        </is>
      </c>
      <c r="F27" s="45" t="inlineStr">
        <is>
          <t>Réunion</t>
        </is>
      </c>
      <c r="G27" s="45" t="n">
        <v>1.5</v>
      </c>
      <c r="H27" s="78" t="inlineStr">
        <is>
          <t>Yacine</t>
        </is>
      </c>
      <c r="I27" s="78" t="inlineStr">
        <is>
          <t>Terminé</t>
        </is>
      </c>
      <c r="J27" s="45" t="inlineStr">
        <is>
          <t>4 oct. 2026</t>
        </is>
      </c>
      <c r="K27" s="45" t="n"/>
      <c r="L27" s="45" t="n"/>
    </row>
    <row r="28" ht="15" customHeight="1" s="41">
      <c r="A28" s="45" t="inlineStr">
        <is>
          <t>T027</t>
        </is>
      </c>
      <c r="B28" s="45" t="inlineStr">
        <is>
          <t>US06</t>
        </is>
      </c>
      <c r="C28" s="45" t="inlineStr">
        <is>
          <t>E0 Gestion de projet Scrum</t>
        </is>
      </c>
      <c r="D28" s="45" t="inlineStr">
        <is>
          <t>Sprint 0</t>
        </is>
      </c>
      <c r="E28" s="45" t="inlineStr">
        <is>
          <t>Construire le diagramme de Gantt</t>
        </is>
      </c>
      <c r="F28" s="45" t="inlineStr">
        <is>
          <t>Excel</t>
        </is>
      </c>
      <c r="G28" s="45" t="n">
        <v>2</v>
      </c>
      <c r="H28" s="78" t="inlineStr">
        <is>
          <t>Achraf</t>
        </is>
      </c>
      <c r="I28" s="78" t="inlineStr">
        <is>
          <t>Terminé</t>
        </is>
      </c>
      <c r="J28" s="45" t="inlineStr">
        <is>
          <t>4 oct. 2026</t>
        </is>
      </c>
      <c r="K28" s="45" t="n"/>
      <c r="L28" s="45" t="n"/>
    </row>
    <row r="29" ht="15" customHeight="1" s="41">
      <c r="A29" s="45" t="inlineStr">
        <is>
          <t>T028</t>
        </is>
      </c>
      <c r="B29" s="45" t="inlineStr">
        <is>
          <t>US07</t>
        </is>
      </c>
      <c r="C29" s="45" t="inlineStr">
        <is>
          <t>E0 Gestion de projet Scrum</t>
        </is>
      </c>
      <c r="D29" s="45" t="inlineStr">
        <is>
          <t>Sprint 0</t>
        </is>
      </c>
      <c r="E29" s="45" t="inlineStr">
        <is>
          <t>Rédiger les épopées et user stories avec critères d'acceptation</t>
        </is>
      </c>
      <c r="F29" s="45" t="inlineStr">
        <is>
          <t>Excel</t>
        </is>
      </c>
      <c r="G29" s="45" t="n">
        <v>3</v>
      </c>
      <c r="H29" s="78" t="inlineStr">
        <is>
          <t>Yacine</t>
        </is>
      </c>
      <c r="I29" s="78" t="inlineStr">
        <is>
          <t>Terminé</t>
        </is>
      </c>
      <c r="J29" s="45" t="inlineStr">
        <is>
          <t>4 oct. 2026</t>
        </is>
      </c>
      <c r="K29" s="45" t="n"/>
      <c r="L29" s="45" t="n"/>
    </row>
    <row r="30" ht="15" customHeight="1" s="41">
      <c r="A30" s="45" t="inlineStr">
        <is>
          <t>T029</t>
        </is>
      </c>
      <c r="B30" s="45" t="inlineStr">
        <is>
          <t>US07</t>
        </is>
      </c>
      <c r="C30" s="45" t="inlineStr">
        <is>
          <t>E0 Gestion de projet Scrum</t>
        </is>
      </c>
      <c r="D30" s="45" t="inlineStr">
        <is>
          <t>Sprint 0</t>
        </is>
      </c>
      <c r="E30" s="45" t="inlineStr">
        <is>
          <t>Découper chaque user story en tâches granulaires et estimer en heures</t>
        </is>
      </c>
      <c r="F30" s="45" t="inlineStr">
        <is>
          <t>Excel</t>
        </is>
      </c>
      <c r="G30" s="45" t="n">
        <v>3</v>
      </c>
      <c r="H30" s="78" t="inlineStr">
        <is>
          <t>Yacine</t>
        </is>
      </c>
      <c r="I30" s="78" t="inlineStr">
        <is>
          <t>Terminé</t>
        </is>
      </c>
      <c r="J30" s="45" t="inlineStr">
        <is>
          <t>4 oct. 2026</t>
        </is>
      </c>
      <c r="K30" s="45" t="n"/>
      <c r="L30" s="45" t="n"/>
    </row>
    <row r="31" ht="15" customHeight="1" s="41">
      <c r="A31" s="45" t="inlineStr">
        <is>
          <t>T030</t>
        </is>
      </c>
      <c r="B31" s="45" t="inlineStr">
        <is>
          <t>US07</t>
        </is>
      </c>
      <c r="C31" s="45" t="inlineStr">
        <is>
          <t>E0 Gestion de projet Scrum</t>
        </is>
      </c>
      <c r="D31" s="45" t="inlineStr">
        <is>
          <t>Sprint 0</t>
        </is>
      </c>
      <c r="E31" s="45" t="inlineStr">
        <is>
          <t>Prioriser (MoSCoW), affecter les tâches aux sprints et aux membres</t>
        </is>
      </c>
      <c r="F31" s="45" t="inlineStr">
        <is>
          <t>Réunion</t>
        </is>
      </c>
      <c r="G31" s="45" t="n">
        <v>1.5</v>
      </c>
      <c r="H31" s="78" t="inlineStr">
        <is>
          <t>Yacine</t>
        </is>
      </c>
      <c r="I31" s="78" t="inlineStr">
        <is>
          <t>Terminé</t>
        </is>
      </c>
      <c r="J31" s="45" t="inlineStr">
        <is>
          <t>4 oct. 2026</t>
        </is>
      </c>
      <c r="K31" s="45" t="n"/>
      <c r="L31" s="45" t="n"/>
    </row>
    <row r="32" ht="15" customHeight="1" s="41">
      <c r="A32" s="45" t="inlineStr">
        <is>
          <t>T031</t>
        </is>
      </c>
      <c r="B32" s="45" t="inlineStr">
        <is>
          <t>US07</t>
        </is>
      </c>
      <c r="C32" s="45" t="inlineStr">
        <is>
          <t>E0 Gestion de projet Scrum</t>
        </is>
      </c>
      <c r="D32" s="45" t="inlineStr">
        <is>
          <t>Sprint 0</t>
        </is>
      </c>
      <c r="E32" s="45" t="inlineStr">
        <is>
          <t>Saisir le backlog dans Jira ou GitHub Projects</t>
        </is>
      </c>
      <c r="F32" s="45" t="inlineStr">
        <is>
          <t>Jira / GitHub Projects</t>
        </is>
      </c>
      <c r="G32" s="45" t="n">
        <v>2</v>
      </c>
      <c r="H32" s="78" t="inlineStr">
        <is>
          <t>Achraf</t>
        </is>
      </c>
      <c r="I32" s="78" t="inlineStr">
        <is>
          <t>Terminé</t>
        </is>
      </c>
      <c r="J32" s="45" t="inlineStr">
        <is>
          <t>4 oct. 2026</t>
        </is>
      </c>
      <c r="K32" s="45" t="n"/>
      <c r="L32" s="45" t="n"/>
    </row>
    <row r="33" ht="15" customHeight="1" s="41">
      <c r="A33" s="45" t="inlineStr">
        <is>
          <t>T032</t>
        </is>
      </c>
      <c r="B33" s="45" t="inlineStr">
        <is>
          <t>US08</t>
        </is>
      </c>
      <c r="C33" s="45" t="inlineStr">
        <is>
          <t>E8 Documentation et livrables</t>
        </is>
      </c>
      <c r="D33" s="45" t="inlineStr">
        <is>
          <t>Sprint 0</t>
        </is>
      </c>
      <c r="E33" s="45" t="inlineStr">
        <is>
          <t>Construire le plan de la présentation UA1</t>
        </is>
      </c>
      <c r="F33" s="45" t="inlineStr">
        <is>
          <t>PowerPoint</t>
        </is>
      </c>
      <c r="G33" s="45" t="n">
        <v>1</v>
      </c>
      <c r="H33" s="78" t="inlineStr">
        <is>
          <t>Achraf</t>
        </is>
      </c>
      <c r="I33" s="78" t="inlineStr">
        <is>
          <t>Terminé</t>
        </is>
      </c>
      <c r="J33" s="45" t="inlineStr">
        <is>
          <t>4 oct. 2026</t>
        </is>
      </c>
      <c r="K33" s="45" t="n"/>
      <c r="L33" s="45" t="n"/>
    </row>
    <row r="34" ht="15" customHeight="1" s="41">
      <c r="A34" s="45" t="inlineStr">
        <is>
          <t>T033</t>
        </is>
      </c>
      <c r="B34" s="45" t="inlineStr">
        <is>
          <t>US08</t>
        </is>
      </c>
      <c r="C34" s="45" t="inlineStr">
        <is>
          <t>E8 Documentation et livrables</t>
        </is>
      </c>
      <c r="D34" s="45" t="inlineStr">
        <is>
          <t>Sprint 0</t>
        </is>
      </c>
      <c r="E34" s="45" t="inlineStr">
        <is>
          <t>Diapositives : contexte, problématique et questions de recherche</t>
        </is>
      </c>
      <c r="F34" s="45" t="inlineStr">
        <is>
          <t>PowerPoint</t>
        </is>
      </c>
      <c r="G34" s="45" t="n">
        <v>1.5</v>
      </c>
      <c r="H34" s="78" t="inlineStr">
        <is>
          <t>Toute l'équipe</t>
        </is>
      </c>
      <c r="I34" s="78" t="inlineStr">
        <is>
          <t>Terminé</t>
        </is>
      </c>
      <c r="J34" s="45" t="inlineStr">
        <is>
          <t>4 oct. 2026</t>
        </is>
      </c>
      <c r="K34" s="45" t="n"/>
      <c r="L34" s="45" t="n"/>
    </row>
    <row r="35" ht="15" customHeight="1" s="41">
      <c r="A35" s="45" t="inlineStr">
        <is>
          <t>T034</t>
        </is>
      </c>
      <c r="B35" s="45" t="inlineStr">
        <is>
          <t>US08</t>
        </is>
      </c>
      <c r="C35" s="45" t="inlineStr">
        <is>
          <t>E8 Documentation et livrables</t>
        </is>
      </c>
      <c r="D35" s="45" t="inlineStr">
        <is>
          <t>Sprint 0</t>
        </is>
      </c>
      <c r="E35" s="45" t="inlineStr">
        <is>
          <t>Diapositives : données, manques identifiés et stratégie de collecte</t>
        </is>
      </c>
      <c r="F35" s="45" t="inlineStr">
        <is>
          <t>PowerPoint</t>
        </is>
      </c>
      <c r="G35" s="45" t="n">
        <v>1.5</v>
      </c>
      <c r="H35" s="78" t="inlineStr">
        <is>
          <t>Toute l'équipe</t>
        </is>
      </c>
      <c r="I35" s="78" t="inlineStr">
        <is>
          <t>Terminé</t>
        </is>
      </c>
      <c r="J35" s="45" t="inlineStr">
        <is>
          <t>4 oct. 2026</t>
        </is>
      </c>
      <c r="K35" s="45" t="n"/>
      <c r="L35" s="45" t="n"/>
    </row>
    <row r="36" ht="15" customHeight="1" s="41">
      <c r="A36" s="45" t="inlineStr">
        <is>
          <t>T035</t>
        </is>
      </c>
      <c r="B36" s="45" t="inlineStr">
        <is>
          <t>US08</t>
        </is>
      </c>
      <c r="C36" s="45" t="inlineStr">
        <is>
          <t>E8 Documentation et livrables</t>
        </is>
      </c>
      <c r="D36" s="45" t="inlineStr">
        <is>
          <t>Sprint 0</t>
        </is>
      </c>
      <c r="E36" s="45" t="inlineStr">
        <is>
          <t>Diapositives : phases, backlog, sprints et outils</t>
        </is>
      </c>
      <c r="F36" s="45" t="inlineStr">
        <is>
          <t>PowerPoint</t>
        </is>
      </c>
      <c r="G36" s="45" t="n">
        <v>1.5</v>
      </c>
      <c r="H36" s="78" t="inlineStr">
        <is>
          <t>Toute l'équipe</t>
        </is>
      </c>
      <c r="I36" s="78" t="inlineStr">
        <is>
          <t>Terminé</t>
        </is>
      </c>
      <c r="J36" s="45" t="inlineStr">
        <is>
          <t>4 oct. 2026</t>
        </is>
      </c>
      <c r="K36" s="45" t="n"/>
      <c r="L36" s="45" t="n"/>
    </row>
    <row r="37" ht="15" customHeight="1" s="41">
      <c r="A37" s="45" t="inlineStr">
        <is>
          <t>T036</t>
        </is>
      </c>
      <c r="B37" s="45" t="inlineStr">
        <is>
          <t>US08</t>
        </is>
      </c>
      <c r="C37" s="45" t="inlineStr">
        <is>
          <t>E8 Documentation et livrables</t>
        </is>
      </c>
      <c r="D37" s="45" t="inlineStr">
        <is>
          <t>Sprint 0</t>
        </is>
      </c>
      <c r="E37" s="45" t="inlineStr">
        <is>
          <t>Répétition chronométrée et répartition des prises de parole</t>
        </is>
      </c>
      <c r="F37" s="45" t="inlineStr">
        <is>
          <t>Réunion</t>
        </is>
      </c>
      <c r="G37" s="45" t="n">
        <v>1.5</v>
      </c>
      <c r="H37" s="78" t="inlineStr">
        <is>
          <t>Toute l'équipe</t>
        </is>
      </c>
      <c r="I37" s="78" t="inlineStr">
        <is>
          <t>À faire</t>
        </is>
      </c>
      <c r="J37" s="45" t="inlineStr">
        <is>
          <t>4 oct. 2026</t>
        </is>
      </c>
      <c r="K37" s="45" t="n"/>
      <c r="L37" s="45" t="n"/>
    </row>
    <row r="38" ht="15" customHeight="1" s="41">
      <c r="A38" s="45" t="inlineStr">
        <is>
          <t>T037</t>
        </is>
      </c>
      <c r="B38" s="45" t="inlineStr">
        <is>
          <t>US27</t>
        </is>
      </c>
      <c r="C38" s="45" t="inlineStr">
        <is>
          <t>E0 Gestion de projet Scrum</t>
        </is>
      </c>
      <c r="D38" s="45" t="inlineStr">
        <is>
          <t>Sprint 0</t>
        </is>
      </c>
      <c r="E38" s="45" t="inlineStr">
        <is>
          <t>Sprint 0 : planification, revue et rétrospective</t>
        </is>
      </c>
      <c r="F38" s="45" t="inlineStr">
        <is>
          <t>Réunion</t>
        </is>
      </c>
      <c r="G38" s="45" t="n">
        <v>2</v>
      </c>
      <c r="H38" s="78" t="inlineStr">
        <is>
          <t>Achraf</t>
        </is>
      </c>
      <c r="I38" s="78" t="inlineStr">
        <is>
          <t>Terminé</t>
        </is>
      </c>
      <c r="J38" s="45" t="inlineStr">
        <is>
          <t>4 oct. 2026</t>
        </is>
      </c>
      <c r="K38" s="45" t="n"/>
      <c r="L38" s="45" t="n"/>
    </row>
    <row r="39" ht="23.25" customHeight="1" s="41">
      <c r="A39" s="48" t="inlineStr">
        <is>
          <t>T038</t>
        </is>
      </c>
      <c r="B39" s="48" t="inlineStr">
        <is>
          <t>US09</t>
        </is>
      </c>
      <c r="C39" s="48" t="inlineStr">
        <is>
          <t>E2 Intégration et modélisation (ETL)</t>
        </is>
      </c>
      <c r="D39" s="48" t="inlineStr">
        <is>
          <t>Sprint 1</t>
        </is>
      </c>
      <c r="E39" s="48" t="inlineStr">
        <is>
          <t>Écrire le script de chargement des fichiers de ventes (data/raw/contoso/Sales)</t>
        </is>
      </c>
      <c r="F39" s="48" t="inlineStr">
        <is>
          <t>Python (pandas)</t>
        </is>
      </c>
      <c r="G39" s="48" t="n">
        <v>2</v>
      </c>
      <c r="H39" s="78" t="inlineStr">
        <is>
          <t>Yacine</t>
        </is>
      </c>
      <c r="I39" s="78" t="inlineStr">
        <is>
          <t>Terminé</t>
        </is>
      </c>
      <c r="J39" s="48" t="inlineStr">
        <is>
          <t>18 oct. 2026</t>
        </is>
      </c>
      <c r="K39" s="48" t="inlineStr">
        <is>
          <t>6 oct. 2026</t>
        </is>
      </c>
      <c r="L39" s="48" t="inlineStr">
        <is>
          <t>Notebook 01_etl, exécuté sur les ventes complètes</t>
        </is>
      </c>
    </row>
    <row r="40" ht="23.25" customHeight="1" s="41">
      <c r="A40" s="48" t="inlineStr">
        <is>
          <t>T039</t>
        </is>
      </c>
      <c r="B40" s="48" t="inlineStr">
        <is>
          <t>US09</t>
        </is>
      </c>
      <c r="C40" s="48" t="inlineStr">
        <is>
          <t>E2 Intégration et modélisation (ETL)</t>
        </is>
      </c>
      <c r="D40" s="48" t="inlineStr">
        <is>
          <t>Sprint 1</t>
        </is>
      </c>
      <c r="E40" s="48" t="inlineStr">
        <is>
          <t>Harmoniser noms de colonnes, types et dates, convertir les montants texte (« $1,062.60 ») en nombres</t>
        </is>
      </c>
      <c r="F40" s="48" t="inlineStr">
        <is>
          <t>Python (pandas)</t>
        </is>
      </c>
      <c r="G40" s="48" t="n">
        <v>2</v>
      </c>
      <c r="H40" s="78" t="inlineStr">
        <is>
          <t>Yacine</t>
        </is>
      </c>
      <c r="I40" s="78" t="inlineStr">
        <is>
          <t>Terminé</t>
        </is>
      </c>
      <c r="J40" s="48" t="inlineStr">
        <is>
          <t>18 oct. 2026</t>
        </is>
      </c>
      <c r="K40" s="48" t="inlineStr">
        <is>
          <t>6 oct. 2026</t>
        </is>
      </c>
      <c r="L40" s="48" t="inlineStr">
        <is>
          <t>Notebook 01_etl, exécuté sur les ventes complètes</t>
        </is>
      </c>
    </row>
    <row r="41" ht="23.25" customHeight="1" s="41">
      <c r="A41" s="48" t="inlineStr">
        <is>
          <t>T040</t>
        </is>
      </c>
      <c r="B41" s="48" t="inlineStr">
        <is>
          <t>US09</t>
        </is>
      </c>
      <c r="C41" s="48" t="inlineStr">
        <is>
          <t>E2 Intégration et modélisation (ETL)</t>
        </is>
      </c>
      <c r="D41" s="48" t="inlineStr">
        <is>
          <t>Sprint 1</t>
        </is>
      </c>
      <c r="E41" s="48" t="inlineStr">
        <is>
          <t>Concaténer les trimestres avec une colonne source (année, trimestre)</t>
        </is>
      </c>
      <c r="F41" s="48" t="inlineStr">
        <is>
          <t>Python (pandas)</t>
        </is>
      </c>
      <c r="G41" s="48" t="n">
        <v>1</v>
      </c>
      <c r="H41" s="78" t="inlineStr">
        <is>
          <t>Yacine</t>
        </is>
      </c>
      <c r="I41" s="78" t="inlineStr">
        <is>
          <t>Terminé</t>
        </is>
      </c>
      <c r="J41" s="48" t="inlineStr">
        <is>
          <t>18 oct. 2026</t>
        </is>
      </c>
      <c r="K41" s="48" t="inlineStr">
        <is>
          <t>6 oct. 2026</t>
        </is>
      </c>
      <c r="L41" s="48" t="inlineStr">
        <is>
          <t>Notebook 01_etl, exécuté sur les ventes complètes</t>
        </is>
      </c>
    </row>
    <row r="42" ht="23.25" customHeight="1" s="41">
      <c r="A42" s="48" t="inlineStr">
        <is>
          <t>T041</t>
        </is>
      </c>
      <c r="B42" s="48" t="inlineStr">
        <is>
          <t>US09</t>
        </is>
      </c>
      <c r="C42" s="48" t="inlineStr">
        <is>
          <t>E2 Intégration et modélisation (ETL)</t>
        </is>
      </c>
      <c r="D42" s="48" t="inlineStr">
        <is>
          <t>Sprint 1</t>
        </is>
      </c>
      <c r="E42" s="48" t="inlineStr">
        <is>
          <t>Contrôler les doublons d'IdVente entre trimestres</t>
        </is>
      </c>
      <c r="F42" s="48" t="inlineStr">
        <is>
          <t>Python (pandas)</t>
        </is>
      </c>
      <c r="G42" s="48" t="n">
        <v>1.5</v>
      </c>
      <c r="H42" s="78" t="inlineStr">
        <is>
          <t>Barnabé</t>
        </is>
      </c>
      <c r="I42" s="78" t="inlineStr">
        <is>
          <t>Terminé</t>
        </is>
      </c>
      <c r="J42" s="48" t="inlineStr">
        <is>
          <t>18 oct. 2026</t>
        </is>
      </c>
      <c r="K42" s="48" t="inlineStr">
        <is>
          <t>6 oct. 2026</t>
        </is>
      </c>
      <c r="L42" s="48" t="inlineStr">
        <is>
          <t>Notebook 01_etl, exécuté sur les ventes complètes</t>
        </is>
      </c>
    </row>
    <row r="43" ht="23.25" customHeight="1" s="41">
      <c r="A43" s="48" t="inlineStr">
        <is>
          <t>T042</t>
        </is>
      </c>
      <c r="B43" s="48" t="inlineStr">
        <is>
          <t>US09</t>
        </is>
      </c>
      <c r="C43" s="48" t="inlineStr">
        <is>
          <t>E2 Intégration et modélisation (ETL)</t>
        </is>
      </c>
      <c r="D43" s="48" t="inlineStr">
        <is>
          <t>Sprint 1</t>
        </is>
      </c>
      <c r="E43" s="48" t="inlineStr">
        <is>
          <t>Réconcilier lignes et totaux (ventes, coûts, retours) avant et après consolidation</t>
        </is>
      </c>
      <c r="F43" s="48" t="inlineStr">
        <is>
          <t>Python (pandas)</t>
        </is>
      </c>
      <c r="G43" s="48" t="n">
        <v>2</v>
      </c>
      <c r="H43" s="78" t="inlineStr">
        <is>
          <t>Barnabé</t>
        </is>
      </c>
      <c r="I43" s="78" t="inlineStr">
        <is>
          <t>Terminé</t>
        </is>
      </c>
      <c r="J43" s="48" t="inlineStr">
        <is>
          <t>18 oct. 2026</t>
        </is>
      </c>
      <c r="K43" s="48" t="inlineStr">
        <is>
          <t>6 oct. 2026</t>
        </is>
      </c>
      <c r="L43" s="48" t="inlineStr">
        <is>
          <t>Notebook 01_etl, exécuté sur les ventes complètes</t>
        </is>
      </c>
    </row>
    <row r="44" ht="23.25" customHeight="1" s="41">
      <c r="A44" s="48" t="inlineStr">
        <is>
          <t>T043</t>
        </is>
      </c>
      <c r="B44" s="48" t="inlineStr">
        <is>
          <t>US10</t>
        </is>
      </c>
      <c r="C44" s="48" t="inlineStr">
        <is>
          <t>E2 Intégration et modélisation (ETL)</t>
        </is>
      </c>
      <c r="D44" s="48" t="inlineStr">
        <is>
          <t>Sprint 1</t>
        </is>
      </c>
      <c r="E44" s="48" t="inlineStr">
        <is>
          <t>Concevoir le schéma en flocon (faits ventes, boutique → géographie, produit → sous-catégorie → catégorie, promotion, date, canal, devise)</t>
        </is>
      </c>
      <c r="F44" s="48" t="inlineStr">
        <is>
          <t>draw.io / Power BI</t>
        </is>
      </c>
      <c r="G44" s="48" t="n">
        <v>2</v>
      </c>
      <c r="H44" s="78" t="inlineStr">
        <is>
          <t>Mouncif</t>
        </is>
      </c>
      <c r="I44" s="78" t="inlineStr">
        <is>
          <t>Terminé</t>
        </is>
      </c>
      <c r="J44" s="48" t="inlineStr">
        <is>
          <t>18 oct. 2026</t>
        </is>
      </c>
      <c r="K44" s="48" t="inlineStr">
        <is>
          <t>6 oct. 2026</t>
        </is>
      </c>
      <c r="L44" s="48" t="inlineStr">
        <is>
          <t>Notebook 02_flocon, exécuté sur les ventes complètes</t>
        </is>
      </c>
    </row>
    <row r="45" ht="23.25" customHeight="1" s="41">
      <c r="A45" s="48" t="inlineStr">
        <is>
          <t>T044</t>
        </is>
      </c>
      <c r="B45" s="48" t="inlineStr">
        <is>
          <t>US10</t>
        </is>
      </c>
      <c r="C45" s="48" t="inlineStr">
        <is>
          <t>E2 Intégration et modélisation (ETL)</t>
        </is>
      </c>
      <c r="D45" s="48" t="inlineStr">
        <is>
          <t>Sprint 1</t>
        </is>
      </c>
      <c r="E45" s="48" t="inlineStr">
        <is>
          <t>Réaligner les dates des dimensions sur nos données (+12 ans : promotions, ouverture et fermeture des boutiques, produits)</t>
        </is>
      </c>
      <c r="F45" s="48" t="inlineStr">
        <is>
          <t>Python (pandas)</t>
        </is>
      </c>
      <c r="G45" s="48" t="n">
        <v>1</v>
      </c>
      <c r="H45" s="78" t="inlineStr">
        <is>
          <t>Mouncif</t>
        </is>
      </c>
      <c r="I45" s="78" t="inlineStr">
        <is>
          <t>Terminé</t>
        </is>
      </c>
      <c r="J45" s="48" t="inlineStr">
        <is>
          <t>18 oct. 2026</t>
        </is>
      </c>
      <c r="K45" s="48" t="inlineStr">
        <is>
          <t>6 oct. 2026</t>
        </is>
      </c>
      <c r="L45" s="48" t="inlineStr">
        <is>
          <t>Notebook 02_flocon, exécuté sur les ventes complètes</t>
        </is>
      </c>
    </row>
    <row r="46" ht="23.25" customHeight="1" s="41">
      <c r="A46" s="48" t="inlineStr">
        <is>
          <t>T045</t>
        </is>
      </c>
      <c r="B46" s="48" t="inlineStr">
        <is>
          <t>US10</t>
        </is>
      </c>
      <c r="C46" s="48" t="inlineStr">
        <is>
          <t>E2 Intégration et modélisation (ETL)</t>
        </is>
      </c>
      <c r="D46" s="48" t="inlineStr">
        <is>
          <t>Sprint 1</t>
        </is>
      </c>
      <c r="E46" s="48" t="inlineStr">
        <is>
          <t>Joindre le canal et la devise récupérés depuis FactSales</t>
        </is>
      </c>
      <c r="F46" s="48" t="inlineStr">
        <is>
          <t>Python (pandas)</t>
        </is>
      </c>
      <c r="G46" s="48" t="n">
        <v>1</v>
      </c>
      <c r="H46" s="78" t="inlineStr">
        <is>
          <t>Mouncif</t>
        </is>
      </c>
      <c r="I46" s="78" t="inlineStr">
        <is>
          <t>Terminé</t>
        </is>
      </c>
      <c r="J46" s="48" t="inlineStr">
        <is>
          <t>18 oct. 2026</t>
        </is>
      </c>
      <c r="K46" s="48" t="inlineStr">
        <is>
          <t>6 oct. 2026</t>
        </is>
      </c>
      <c r="L46" s="48" t="inlineStr">
        <is>
          <t>Notebook 02_flocon, exécuté sur les ventes complètes</t>
        </is>
      </c>
    </row>
    <row r="47" ht="23.25" customHeight="1" s="41">
      <c r="A47" s="48" t="inlineStr">
        <is>
          <t>T046</t>
        </is>
      </c>
      <c r="B47" s="48" t="inlineStr">
        <is>
          <t>US10</t>
        </is>
      </c>
      <c r="C47" s="48" t="inlineStr">
        <is>
          <t>E2 Intégration et modélisation (ETL)</t>
        </is>
      </c>
      <c r="D47" s="48" t="inlineStr">
        <is>
          <t>Sprint 1</t>
        </is>
      </c>
      <c r="E47" s="48" t="inlineStr">
        <is>
          <t>Construire la dimension date (jour, semaine, mois, trimestre, jour férié, période COVID)</t>
        </is>
      </c>
      <c r="F47" s="48" t="inlineStr">
        <is>
          <t>Python (pandas)</t>
        </is>
      </c>
      <c r="G47" s="48" t="n">
        <v>2</v>
      </c>
      <c r="H47" s="78" t="inlineStr">
        <is>
          <t>Yacine</t>
        </is>
      </c>
      <c r="I47" s="78" t="inlineStr">
        <is>
          <t>Terminé</t>
        </is>
      </c>
      <c r="J47" s="48" t="inlineStr">
        <is>
          <t>18 oct. 2026</t>
        </is>
      </c>
      <c r="K47" s="48" t="inlineStr">
        <is>
          <t>6 oct. 2026</t>
        </is>
      </c>
      <c r="L47" s="48" t="inlineStr">
        <is>
          <t>Notebook 02_flocon, exécuté sur les ventes complètes</t>
        </is>
      </c>
    </row>
    <row r="48" ht="23.25" customHeight="1" s="41">
      <c r="A48" s="48" t="inlineStr">
        <is>
          <t>T047</t>
        </is>
      </c>
      <c r="B48" s="48" t="inlineStr">
        <is>
          <t>US10</t>
        </is>
      </c>
      <c r="C48" s="48" t="inlineStr">
        <is>
          <t>E2 Intégration et modélisation (ETL)</t>
        </is>
      </c>
      <c r="D48" s="48" t="inlineStr">
        <is>
          <t>Sprint 1</t>
        </is>
      </c>
      <c r="E48" s="48" t="inlineStr">
        <is>
          <t>Aplatir la hiérarchie produit (produit, sous-catégorie, catégorie) et géographie (ville, région, pays)</t>
        </is>
      </c>
      <c r="F48" s="48" t="inlineStr">
        <is>
          <t>Python (pandas)</t>
        </is>
      </c>
      <c r="G48" s="48" t="n">
        <v>2</v>
      </c>
      <c r="H48" s="78" t="inlineStr">
        <is>
          <t>Yacine</t>
        </is>
      </c>
      <c r="I48" s="78" t="inlineStr">
        <is>
          <t>Terminé</t>
        </is>
      </c>
      <c r="J48" s="48" t="inlineStr">
        <is>
          <t>18 oct. 2026</t>
        </is>
      </c>
      <c r="K48" s="48" t="inlineStr">
        <is>
          <t>6 oct. 2026</t>
        </is>
      </c>
      <c r="L48" s="48" t="inlineStr">
        <is>
          <t>Notebook 02_flocon, exécuté sur les ventes complètes</t>
        </is>
      </c>
    </row>
    <row r="49" ht="23.25" customHeight="1" s="41">
      <c r="A49" s="48" t="inlineStr">
        <is>
          <t>T048</t>
        </is>
      </c>
      <c r="B49" s="48" t="inlineStr">
        <is>
          <t>US10</t>
        </is>
      </c>
      <c r="C49" s="48" t="inlineStr">
        <is>
          <t>E2 Intégration et modélisation (ETL)</t>
        </is>
      </c>
      <c r="D49" s="48" t="inlineStr">
        <is>
          <t>Sprint 1</t>
        </is>
      </c>
      <c r="E49" s="48" t="inlineStr">
        <is>
          <t>Joindre les dimensions à la table de faits et mesurer le taux de correspondance</t>
        </is>
      </c>
      <c r="F49" s="48" t="inlineStr">
        <is>
          <t>Python (pandas)</t>
        </is>
      </c>
      <c r="G49" s="48" t="n">
        <v>2</v>
      </c>
      <c r="H49" s="78" t="inlineStr">
        <is>
          <t>Mouncif</t>
        </is>
      </c>
      <c r="I49" s="78" t="inlineStr">
        <is>
          <t>Terminé</t>
        </is>
      </c>
      <c r="J49" s="48" t="inlineStr">
        <is>
          <t>18 oct. 2026</t>
        </is>
      </c>
      <c r="K49" s="48" t="inlineStr">
        <is>
          <t>6 oct. 2026</t>
        </is>
      </c>
      <c r="L49" s="48" t="inlineStr">
        <is>
          <t>Notebook 02_flocon, exécuté sur les ventes complètes</t>
        </is>
      </c>
    </row>
    <row r="50" ht="23.25" customHeight="1" s="41">
      <c r="A50" s="48" t="inlineStr">
        <is>
          <t>T049</t>
        </is>
      </c>
      <c r="B50" s="48" t="inlineStr">
        <is>
          <t>US10</t>
        </is>
      </c>
      <c r="C50" s="48" t="inlineStr">
        <is>
          <t>E2 Intégration et modélisation (ETL)</t>
        </is>
      </c>
      <c r="D50" s="48" t="inlineStr">
        <is>
          <t>Sprint 1</t>
        </is>
      </c>
      <c r="E50" s="48" t="inlineStr">
        <is>
          <t>Traiter les clés sans correspondance (membre « Inconnu ») et documenter</t>
        </is>
      </c>
      <c r="F50" s="48" t="inlineStr">
        <is>
          <t>Python (pandas)</t>
        </is>
      </c>
      <c r="G50" s="48" t="n">
        <v>1.5</v>
      </c>
      <c r="H50" s="78" t="inlineStr">
        <is>
          <t>Mouncif</t>
        </is>
      </c>
      <c r="I50" s="78" t="inlineStr">
        <is>
          <t>Terminé</t>
        </is>
      </c>
      <c r="J50" s="48" t="inlineStr">
        <is>
          <t>18 oct. 2026</t>
        </is>
      </c>
      <c r="K50" s="48" t="inlineStr">
        <is>
          <t>6 oct. 2026</t>
        </is>
      </c>
      <c r="L50" s="48" t="inlineStr">
        <is>
          <t>Notebook 02_flocon, exécuté sur les ventes complètes</t>
        </is>
      </c>
    </row>
    <row r="51" ht="23.25" customHeight="1" s="41">
      <c r="A51" s="48" t="inlineStr">
        <is>
          <t>T050</t>
        </is>
      </c>
      <c r="B51" s="48" t="inlineStr">
        <is>
          <t>US10</t>
        </is>
      </c>
      <c r="C51" s="48" t="inlineStr">
        <is>
          <t>E2 Intégration et modélisation (ETL)</t>
        </is>
      </c>
      <c r="D51" s="48" t="inlineStr">
        <is>
          <t>Sprint 1</t>
        </is>
      </c>
      <c r="E51" s="48" t="inlineStr">
        <is>
          <t>Exporter les tables consolidées et jointes dans data/interim (Parquet et CSV)</t>
        </is>
      </c>
      <c r="F51" s="48" t="inlineStr">
        <is>
          <t>Python (pandas)</t>
        </is>
      </c>
      <c r="G51" s="48" t="n">
        <v>1</v>
      </c>
      <c r="H51" s="78" t="inlineStr">
        <is>
          <t>Mouncif</t>
        </is>
      </c>
      <c r="I51" s="78" t="inlineStr">
        <is>
          <t>Terminé</t>
        </is>
      </c>
      <c r="J51" s="48" t="inlineStr">
        <is>
          <t>18 oct. 2026</t>
        </is>
      </c>
      <c r="K51" s="48" t="inlineStr">
        <is>
          <t>6 oct. 2026</t>
        </is>
      </c>
      <c r="L51" s="48" t="inlineStr">
        <is>
          <t>Notebook 02_flocon, exécuté sur les ventes complètes</t>
        </is>
      </c>
    </row>
    <row r="52" ht="23.25" customHeight="1" s="41">
      <c r="A52" s="48" t="inlineStr">
        <is>
          <t>T051</t>
        </is>
      </c>
      <c r="B52" s="48" t="inlineStr">
        <is>
          <t>US11</t>
        </is>
      </c>
      <c r="C52" s="48" t="inlineStr">
        <is>
          <t>E2 Intégration et modélisation (ETL)</t>
        </is>
      </c>
      <c r="D52" s="48" t="inlineStr">
        <is>
          <t>Sprint 1</t>
        </is>
      </c>
      <c r="E52" s="48" t="inlineStr">
        <is>
          <t>Factoriser le code partagé dans src/ (config, etl, qualite, features, modeles, viz)</t>
        </is>
      </c>
      <c r="F52" s="48" t="inlineStr">
        <is>
          <t>Python</t>
        </is>
      </c>
      <c r="G52" s="48" t="n">
        <v>3</v>
      </c>
      <c r="H52" s="78" t="inlineStr">
        <is>
          <t>À répartir</t>
        </is>
      </c>
      <c r="I52" s="78" t="inlineStr">
        <is>
          <t>En cours</t>
        </is>
      </c>
      <c r="J52" s="48" t="inlineStr">
        <is>
          <t>18 oct. 2026</t>
        </is>
      </c>
      <c r="K52" s="48" t="n"/>
      <c r="L52" s="48" t="inlineStr">
        <is>
          <t>config, etl, viz et analyse existent ; les autres modules restent à créer (à confirmer)</t>
        </is>
      </c>
    </row>
    <row r="53" ht="23.25" customHeight="1" s="41">
      <c r="A53" s="48" t="inlineStr">
        <is>
          <t>T052</t>
        </is>
      </c>
      <c r="B53" s="48" t="inlineStr">
        <is>
          <t>US11</t>
        </is>
      </c>
      <c r="C53" s="48" t="inlineStr">
        <is>
          <t>E2 Intégration et modélisation (ETL)</t>
        </is>
      </c>
      <c r="D53" s="48" t="inlineStr">
        <is>
          <t>Sprint 1</t>
        </is>
      </c>
      <c r="E53" s="48" t="inlineStr">
        <is>
          <t>Écrire run_pipeline.py (papermill : ordre des dépendances, exécution parallèle des notebooks indépendants, copies exécutées)</t>
        </is>
      </c>
      <c r="F53" s="48" t="inlineStr">
        <is>
          <t>Python (papermill)</t>
        </is>
      </c>
      <c r="G53" s="48" t="n">
        <v>3</v>
      </c>
      <c r="H53" s="78" t="inlineStr">
        <is>
          <t>À répartir</t>
        </is>
      </c>
      <c r="I53" s="78" t="inlineStr">
        <is>
          <t>À faire</t>
        </is>
      </c>
      <c r="J53" s="48" t="inlineStr">
        <is>
          <t>18 oct. 2026</t>
        </is>
      </c>
      <c r="K53" s="48" t="n"/>
      <c r="L53" s="48" t="n"/>
    </row>
    <row r="54" ht="23.25" customHeight="1" s="41">
      <c r="A54" s="48" t="inlineStr">
        <is>
          <t>T053</t>
        </is>
      </c>
      <c r="B54" s="48" t="inlineStr">
        <is>
          <t>US11</t>
        </is>
      </c>
      <c r="C54" s="48" t="inlineStr">
        <is>
          <t>E2 Intégration et modélisation (ETL)</t>
        </is>
      </c>
      <c r="D54" s="48" t="inlineStr">
        <is>
          <t>Sprint 1</t>
        </is>
      </c>
      <c r="E54" s="48" t="inlineStr">
        <is>
          <t>Tester l'exécution complète sur un poste vierge</t>
        </is>
      </c>
      <c r="F54" s="48" t="inlineStr">
        <is>
          <t>Python</t>
        </is>
      </c>
      <c r="G54" s="48" t="n">
        <v>1</v>
      </c>
      <c r="H54" s="78" t="inlineStr">
        <is>
          <t>À répartir</t>
        </is>
      </c>
      <c r="I54" s="78" t="inlineStr">
        <is>
          <t>À faire</t>
        </is>
      </c>
      <c r="J54" s="48" t="inlineStr">
        <is>
          <t>18 oct. 2026</t>
        </is>
      </c>
      <c r="K54" s="48" t="n"/>
      <c r="L54" s="48" t="n"/>
    </row>
    <row r="55" ht="23.25" customHeight="1" s="41">
      <c r="A55" s="48" t="inlineStr">
        <is>
          <t>T054</t>
        </is>
      </c>
      <c r="B55" s="48" t="inlineStr">
        <is>
          <t>US11</t>
        </is>
      </c>
      <c r="C55" s="48" t="inlineStr">
        <is>
          <t>E2 Intégration et modélisation (ETL)</t>
        </is>
      </c>
      <c r="D55" s="48" t="inlineStr">
        <is>
          <t>Sprint 1</t>
        </is>
      </c>
      <c r="E55" s="48" t="inlineStr">
        <is>
          <t>Rédiger le README d'exécution du pipeline</t>
        </is>
      </c>
      <c r="F55" s="48" t="inlineStr">
        <is>
          <t>GitHub</t>
        </is>
      </c>
      <c r="G55" s="48" t="n">
        <v>1</v>
      </c>
      <c r="H55" s="78" t="inlineStr">
        <is>
          <t>À répartir</t>
        </is>
      </c>
      <c r="I55" s="78" t="inlineStr">
        <is>
          <t>À faire</t>
        </is>
      </c>
      <c r="J55" s="48" t="inlineStr">
        <is>
          <t>18 oct. 2026</t>
        </is>
      </c>
      <c r="K55" s="48" t="n"/>
      <c r="L55" s="48" t="n"/>
    </row>
    <row r="56" ht="23.25" customHeight="1" s="41">
      <c r="A56" s="48" t="inlineStr">
        <is>
          <t>T055</t>
        </is>
      </c>
      <c r="B56" s="48" t="inlineStr">
        <is>
          <t>US11</t>
        </is>
      </c>
      <c r="C56" s="48" t="inlineStr">
        <is>
          <t>E2 Intégration et modélisation (ETL)</t>
        </is>
      </c>
      <c r="D56" s="48" t="inlineStr">
        <is>
          <t>Sprint 1</t>
        </is>
      </c>
      <c r="E56" s="48" t="inlineStr">
        <is>
          <t>Revue de code croisée du pipeline</t>
        </is>
      </c>
      <c r="F56" s="48" t="inlineStr">
        <is>
          <t>GitHub</t>
        </is>
      </c>
      <c r="G56" s="48" t="n">
        <v>1.5</v>
      </c>
      <c r="H56" s="78" t="inlineStr">
        <is>
          <t>Barnabé</t>
        </is>
      </c>
      <c r="I56" s="78" t="inlineStr">
        <is>
          <t>À faire</t>
        </is>
      </c>
      <c r="J56" s="48" t="inlineStr">
        <is>
          <t>18 oct. 2026</t>
        </is>
      </c>
      <c r="K56" s="48" t="n"/>
      <c r="L56" s="48" t="n"/>
    </row>
    <row r="57" ht="15" customHeight="1" s="41">
      <c r="A57" s="48" t="inlineStr">
        <is>
          <t>T056</t>
        </is>
      </c>
      <c r="B57" s="48" t="inlineStr">
        <is>
          <t>US27</t>
        </is>
      </c>
      <c r="C57" s="48" t="inlineStr">
        <is>
          <t>E0 Gestion de projet Scrum</t>
        </is>
      </c>
      <c r="D57" s="48" t="inlineStr">
        <is>
          <t>Sprint 1</t>
        </is>
      </c>
      <c r="E57" s="48" t="inlineStr">
        <is>
          <t>Sprint 1 : planification, revue et rétrospective</t>
        </is>
      </c>
      <c r="F57" s="48" t="inlineStr">
        <is>
          <t>Réunion</t>
        </is>
      </c>
      <c r="G57" s="48" t="n">
        <v>2</v>
      </c>
      <c r="H57" s="78" t="inlineStr">
        <is>
          <t>Achraf</t>
        </is>
      </c>
      <c r="I57" s="78" t="inlineStr">
        <is>
          <t>À faire</t>
        </is>
      </c>
      <c r="J57" s="48" t="inlineStr">
        <is>
          <t>18 oct. 2026</t>
        </is>
      </c>
      <c r="K57" s="48" t="n"/>
      <c r="L57" s="48" t="n"/>
    </row>
    <row r="58" ht="15" customHeight="1" s="41">
      <c r="A58" s="48" t="inlineStr">
        <is>
          <t>T057</t>
        </is>
      </c>
      <c r="B58" s="48" t="inlineStr">
        <is>
          <t>US12</t>
        </is>
      </c>
      <c r="C58" s="48" t="inlineStr">
        <is>
          <t>E3 Qualité et nettoyage</t>
        </is>
      </c>
      <c r="D58" s="48" t="inlineStr">
        <is>
          <t>Sprint 2</t>
        </is>
      </c>
      <c r="E58" s="48" t="inlineStr">
        <is>
          <t>Mesurer le taux de valeurs manquantes par variable</t>
        </is>
      </c>
      <c r="F58" s="48" t="inlineStr">
        <is>
          <t>Python (pandas)</t>
        </is>
      </c>
      <c r="G58" s="48" t="n">
        <v>1</v>
      </c>
      <c r="H58" s="78" t="inlineStr">
        <is>
          <t>Yacine</t>
        </is>
      </c>
      <c r="I58" s="78" t="inlineStr">
        <is>
          <t>Terminé</t>
        </is>
      </c>
      <c r="J58" s="48" t="inlineStr">
        <is>
          <t>1 nov. 2026</t>
        </is>
      </c>
      <c r="K58" s="48" t="inlineStr">
        <is>
          <t>6 oct. 2026</t>
        </is>
      </c>
      <c r="L58" s="48" t="inlineStr">
        <is>
          <t>Notebook 03_diagnostic, exécuté sur les ventes complètes</t>
        </is>
      </c>
    </row>
    <row r="59" ht="15" customHeight="1" s="41">
      <c r="A59" s="48" t="inlineStr">
        <is>
          <t>T058</t>
        </is>
      </c>
      <c r="B59" s="48" t="inlineStr">
        <is>
          <t>US12</t>
        </is>
      </c>
      <c r="C59" s="48" t="inlineStr">
        <is>
          <t>E3 Qualité et nettoyage</t>
        </is>
      </c>
      <c r="D59" s="48" t="inlineStr">
        <is>
          <t>Sprint 2</t>
        </is>
      </c>
      <c r="E59" s="48" t="inlineStr">
        <is>
          <t>Détecter les valeurs nulles ou négatives (quantités, prix, coûts, montants)</t>
        </is>
      </c>
      <c r="F59" s="48" t="inlineStr">
        <is>
          <t>Python (pandas)</t>
        </is>
      </c>
      <c r="G59" s="48" t="n">
        <v>1.5</v>
      </c>
      <c r="H59" s="78" t="inlineStr">
        <is>
          <t>Yacine</t>
        </is>
      </c>
      <c r="I59" s="78" t="inlineStr">
        <is>
          <t>Terminé</t>
        </is>
      </c>
      <c r="J59" s="48" t="inlineStr">
        <is>
          <t>1 nov. 2026</t>
        </is>
      </c>
      <c r="K59" s="48" t="inlineStr">
        <is>
          <t>6 oct. 2026</t>
        </is>
      </c>
      <c r="L59" s="48" t="inlineStr">
        <is>
          <t>Notebook 03_diagnostic, exécuté sur les ventes complètes</t>
        </is>
      </c>
    </row>
    <row r="60" ht="15" customHeight="1" s="41">
      <c r="A60" s="48" t="inlineStr">
        <is>
          <t>T059</t>
        </is>
      </c>
      <c r="B60" s="48" t="inlineStr">
        <is>
          <t>US12</t>
        </is>
      </c>
      <c r="C60" s="48" t="inlineStr">
        <is>
          <t>E3 Qualité et nettoyage</t>
        </is>
      </c>
      <c r="D60" s="48" t="inlineStr">
        <is>
          <t>Sprint 2</t>
        </is>
      </c>
      <c r="E60" s="48" t="inlineStr">
        <is>
          <t>Contrôler : Montant des ventes = Prix unitaire × Quantité − Remise</t>
        </is>
      </c>
      <c r="F60" s="48" t="inlineStr">
        <is>
          <t>Python (pandas)</t>
        </is>
      </c>
      <c r="G60" s="48" t="n">
        <v>1.5</v>
      </c>
      <c r="H60" s="78" t="inlineStr">
        <is>
          <t>Barnabé</t>
        </is>
      </c>
      <c r="I60" s="78" t="inlineStr">
        <is>
          <t>Terminé</t>
        </is>
      </c>
      <c r="J60" s="48" t="inlineStr">
        <is>
          <t>1 nov. 2026</t>
        </is>
      </c>
      <c r="K60" s="48" t="inlineStr">
        <is>
          <t>6 oct. 2026</t>
        </is>
      </c>
      <c r="L60" s="48" t="inlineStr">
        <is>
          <t>Notebook 03_diagnostic, exécuté sur les ventes complètes</t>
        </is>
      </c>
    </row>
    <row r="61" ht="15" customHeight="1" s="41">
      <c r="A61" s="48" t="inlineStr">
        <is>
          <t>T060</t>
        </is>
      </c>
      <c r="B61" s="48" t="inlineStr">
        <is>
          <t>US12</t>
        </is>
      </c>
      <c r="C61" s="48" t="inlineStr">
        <is>
          <t>E3 Qualité et nettoyage</t>
        </is>
      </c>
      <c r="D61" s="48" t="inlineStr">
        <is>
          <t>Sprint 2</t>
        </is>
      </c>
      <c r="E61" s="48" t="inlineStr">
        <is>
          <t>Contrôler : Coût total = Coût unitaire × Quantité</t>
        </is>
      </c>
      <c r="F61" s="48" t="inlineStr">
        <is>
          <t>Python (pandas)</t>
        </is>
      </c>
      <c r="G61" s="48" t="n">
        <v>1</v>
      </c>
      <c r="H61" s="78" t="inlineStr">
        <is>
          <t>Barnabé</t>
        </is>
      </c>
      <c r="I61" s="78" t="inlineStr">
        <is>
          <t>Terminé</t>
        </is>
      </c>
      <c r="J61" s="48" t="inlineStr">
        <is>
          <t>1 nov. 2026</t>
        </is>
      </c>
      <c r="K61" s="48" t="inlineStr">
        <is>
          <t>6 oct. 2026</t>
        </is>
      </c>
      <c r="L61" s="48" t="inlineStr">
        <is>
          <t>Notebook 03_diagnostic, exécuté sur les ventes complètes</t>
        </is>
      </c>
    </row>
    <row r="62" ht="15" customHeight="1" s="41">
      <c r="A62" s="48" t="inlineStr">
        <is>
          <t>T061</t>
        </is>
      </c>
      <c r="B62" s="48" t="inlineStr">
        <is>
          <t>US12</t>
        </is>
      </c>
      <c r="C62" s="48" t="inlineStr">
        <is>
          <t>E3 Qualité et nettoyage</t>
        </is>
      </c>
      <c r="D62" s="48" t="inlineStr">
        <is>
          <t>Sprint 2</t>
        </is>
      </c>
      <c r="E62" s="48" t="inlineStr">
        <is>
          <t>Contrôler : quantités et montants de retour inférieurs ou égaux aux ventes</t>
        </is>
      </c>
      <c r="F62" s="48" t="inlineStr">
        <is>
          <t>Python (pandas)</t>
        </is>
      </c>
      <c r="G62" s="48" t="n">
        <v>1</v>
      </c>
      <c r="H62" s="78" t="inlineStr">
        <is>
          <t>Yacine</t>
        </is>
      </c>
      <c r="I62" s="78" t="inlineStr">
        <is>
          <t>Terminé</t>
        </is>
      </c>
      <c r="J62" s="48" t="inlineStr">
        <is>
          <t>1 nov. 2026</t>
        </is>
      </c>
      <c r="K62" s="48" t="inlineStr">
        <is>
          <t>6 oct. 2026</t>
        </is>
      </c>
      <c r="L62" s="48" t="inlineStr">
        <is>
          <t>Notebook 03_diagnostic, exécuté sur les ventes complètes</t>
        </is>
      </c>
    </row>
    <row r="63" ht="15" customHeight="1" s="41">
      <c r="A63" s="48" t="inlineStr">
        <is>
          <t>T062</t>
        </is>
      </c>
      <c r="B63" s="48" t="inlineStr">
        <is>
          <t>US12</t>
        </is>
      </c>
      <c r="C63" s="48" t="inlineStr">
        <is>
          <t>E3 Qualité et nettoyage</t>
        </is>
      </c>
      <c r="D63" s="48" t="inlineStr">
        <is>
          <t>Sprint 2</t>
        </is>
      </c>
      <c r="E63" s="48" t="inlineStr">
        <is>
          <t>Contrôler : Quantité de remise inférieure ou égale à la Quantité de vente</t>
        </is>
      </c>
      <c r="F63" s="48" t="inlineStr">
        <is>
          <t>Python (pandas)</t>
        </is>
      </c>
      <c r="G63" s="48" t="n">
        <v>1</v>
      </c>
      <c r="H63" s="78" t="inlineStr">
        <is>
          <t>Yacine</t>
        </is>
      </c>
      <c r="I63" s="78" t="inlineStr">
        <is>
          <t>Terminé</t>
        </is>
      </c>
      <c r="J63" s="48" t="inlineStr">
        <is>
          <t>1 nov. 2026</t>
        </is>
      </c>
      <c r="K63" s="48" t="inlineStr">
        <is>
          <t>6 oct. 2026</t>
        </is>
      </c>
      <c r="L63" s="48" t="inlineStr">
        <is>
          <t>Notebook 03_diagnostic, exécuté sur les ventes complètes</t>
        </is>
      </c>
    </row>
    <row r="64" ht="15" customHeight="1" s="41">
      <c r="A64" s="48" t="inlineStr">
        <is>
          <t>T063</t>
        </is>
      </c>
      <c r="B64" s="48" t="inlineStr">
        <is>
          <t>US12</t>
        </is>
      </c>
      <c r="C64" s="48" t="inlineStr">
        <is>
          <t>E3 Qualité et nettoyage</t>
        </is>
      </c>
      <c r="D64" s="48" t="inlineStr">
        <is>
          <t>Sprint 2</t>
        </is>
      </c>
      <c r="E64" s="48" t="inlineStr">
        <is>
          <t>Contrôler la cohérence promotion et remise (promo sans remise, remise sans promo)</t>
        </is>
      </c>
      <c r="F64" s="48" t="inlineStr">
        <is>
          <t>Python (pandas)</t>
        </is>
      </c>
      <c r="G64" s="48" t="n">
        <v>1.5</v>
      </c>
      <c r="H64" s="78" t="inlineStr">
        <is>
          <t>Yacine</t>
        </is>
      </c>
      <c r="I64" s="78" t="inlineStr">
        <is>
          <t>Terminé</t>
        </is>
      </c>
      <c r="J64" s="48" t="inlineStr">
        <is>
          <t>1 nov. 2026</t>
        </is>
      </c>
      <c r="K64" s="48" t="inlineStr">
        <is>
          <t>6 oct. 2026</t>
        </is>
      </c>
      <c r="L64" s="48" t="inlineStr">
        <is>
          <t>Notebook 03_diagnostic, exécuté sur les ventes complètes</t>
        </is>
      </c>
    </row>
    <row r="65" ht="15" customHeight="1" s="41">
      <c r="A65" s="48" t="inlineStr">
        <is>
          <t>T064</t>
        </is>
      </c>
      <c r="B65" s="48" t="inlineStr">
        <is>
          <t>US12</t>
        </is>
      </c>
      <c r="C65" s="48" t="inlineStr">
        <is>
          <t>E3 Qualité et nettoyage</t>
        </is>
      </c>
      <c r="D65" s="48" t="inlineStr">
        <is>
          <t>Sprint 2</t>
        </is>
      </c>
      <c r="E65" s="48" t="inlineStr">
        <is>
          <t>Contrôler les ventes hors dates de promotion ou pendant la fermeture d'une boutique</t>
        </is>
      </c>
      <c r="F65" s="48" t="inlineStr">
        <is>
          <t>Python (pandas)</t>
        </is>
      </c>
      <c r="G65" s="48" t="n">
        <v>1.5</v>
      </c>
      <c r="H65" s="78" t="inlineStr">
        <is>
          <t>Yacine</t>
        </is>
      </c>
      <c r="I65" s="78" t="inlineStr">
        <is>
          <t>Terminé</t>
        </is>
      </c>
      <c r="J65" s="48" t="inlineStr">
        <is>
          <t>1 nov. 2026</t>
        </is>
      </c>
      <c r="K65" s="48" t="inlineStr">
        <is>
          <t>6 oct. 2026</t>
        </is>
      </c>
      <c r="L65" s="48" t="inlineStr">
        <is>
          <t>Notebook 03_diagnostic, exécuté sur les ventes complètes</t>
        </is>
      </c>
    </row>
    <row r="66" ht="15" customHeight="1" s="41">
      <c r="A66" s="48" t="inlineStr">
        <is>
          <t>T065</t>
        </is>
      </c>
      <c r="B66" s="48" t="inlineStr">
        <is>
          <t>US12</t>
        </is>
      </c>
      <c r="C66" s="48" t="inlineStr">
        <is>
          <t>E3 Qualité et nettoyage</t>
        </is>
      </c>
      <c r="D66" s="48" t="inlineStr">
        <is>
          <t>Sprint 2</t>
        </is>
      </c>
      <c r="E66" s="48" t="inlineStr">
        <is>
          <t>Comparer prix et coûts unitaires des transactions avec ceux de DimProduct</t>
        </is>
      </c>
      <c r="F66" s="48" t="inlineStr">
        <is>
          <t>Python (pandas)</t>
        </is>
      </c>
      <c r="G66" s="48" t="n">
        <v>1.5</v>
      </c>
      <c r="H66" s="78" t="inlineStr">
        <is>
          <t>Barnabé</t>
        </is>
      </c>
      <c r="I66" s="78" t="inlineStr">
        <is>
          <t>Terminé</t>
        </is>
      </c>
      <c r="J66" s="48" t="inlineStr">
        <is>
          <t>1 nov. 2026</t>
        </is>
      </c>
      <c r="K66" s="48" t="inlineStr">
        <is>
          <t>6 oct. 2026</t>
        </is>
      </c>
      <c r="L66" s="48" t="inlineStr">
        <is>
          <t>Notebook 03_diagnostic, exécuté sur les ventes complètes</t>
        </is>
      </c>
    </row>
    <row r="67" ht="15" customHeight="1" s="41">
      <c r="A67" s="48" t="inlineStr">
        <is>
          <t>T066</t>
        </is>
      </c>
      <c r="B67" s="48" t="inlineStr">
        <is>
          <t>US12</t>
        </is>
      </c>
      <c r="C67" s="48" t="inlineStr">
        <is>
          <t>E3 Qualité et nettoyage</t>
        </is>
      </c>
      <c r="D67" s="48" t="inlineStr">
        <is>
          <t>Sprint 2</t>
        </is>
      </c>
      <c r="E67" s="48" t="inlineStr">
        <is>
          <t>Détecter les valeurs aberrantes (IQR, z-score) et les visualiser</t>
        </is>
      </c>
      <c r="F67" s="48" t="inlineStr">
        <is>
          <t>Python (seaborn)</t>
        </is>
      </c>
      <c r="G67" s="48" t="n">
        <v>2</v>
      </c>
      <c r="H67" s="78" t="inlineStr">
        <is>
          <t>Yacine</t>
        </is>
      </c>
      <c r="I67" s="78" t="inlineStr">
        <is>
          <t>Terminé</t>
        </is>
      </c>
      <c r="J67" s="48" t="inlineStr">
        <is>
          <t>1 nov. 2026</t>
        </is>
      </c>
      <c r="K67" s="48" t="inlineStr">
        <is>
          <t>6 oct. 2026</t>
        </is>
      </c>
      <c r="L67" s="48" t="inlineStr">
        <is>
          <t>Notebook 03_diagnostic, exécuté sur les ventes complètes</t>
        </is>
      </c>
    </row>
    <row r="68" ht="15" customHeight="1" s="41">
      <c r="A68" s="48" t="inlineStr">
        <is>
          <t>T067</t>
        </is>
      </c>
      <c r="B68" s="48" t="inlineStr">
        <is>
          <t>US12</t>
        </is>
      </c>
      <c r="C68" s="48" t="inlineStr">
        <is>
          <t>E3 Qualité et nettoyage</t>
        </is>
      </c>
      <c r="D68" s="48" t="inlineStr">
        <is>
          <t>Sprint 2</t>
        </is>
      </c>
      <c r="E68" s="48" t="inlineStr">
        <is>
          <t>Rédiger la synthèse chiffrée des anomalies</t>
        </is>
      </c>
      <c r="F68" s="48" t="inlineStr">
        <is>
          <t>Word</t>
        </is>
      </c>
      <c r="G68" s="48" t="n">
        <v>2</v>
      </c>
      <c r="H68" s="78" t="inlineStr">
        <is>
          <t>Yacine</t>
        </is>
      </c>
      <c r="I68" s="78" t="inlineStr">
        <is>
          <t>En revue</t>
        </is>
      </c>
      <c r="J68" s="48" t="inlineStr">
        <is>
          <t>1 nov. 2026</t>
        </is>
      </c>
      <c r="K68" s="48" t="n"/>
      <c r="L68" s="48" t="inlineStr">
        <is>
          <t>Repris dans le rapport L3 (sections 2 et 3), première version du 7 oct. 2026</t>
        </is>
      </c>
    </row>
    <row r="69" ht="15" customHeight="1" s="41">
      <c r="A69" s="48" t="inlineStr">
        <is>
          <t>T068</t>
        </is>
      </c>
      <c r="B69" s="48" t="inlineStr">
        <is>
          <t>US13</t>
        </is>
      </c>
      <c r="C69" s="48" t="inlineStr">
        <is>
          <t>E3 Qualité et nettoyage</t>
        </is>
      </c>
      <c r="D69" s="48" t="inlineStr">
        <is>
          <t>Sprint 2</t>
        </is>
      </c>
      <c r="E69" s="48" t="inlineStr">
        <is>
          <t>Définir et faire valider les règles de traitement (supprimer, corriger, imputer, signaler)</t>
        </is>
      </c>
      <c r="F69" s="48" t="inlineStr">
        <is>
          <t>Réunion</t>
        </is>
      </c>
      <c r="G69" s="48" t="n">
        <v>1.5</v>
      </c>
      <c r="H69" s="78" t="inlineStr">
        <is>
          <t>Yacine</t>
        </is>
      </c>
      <c r="I69" s="78" t="inlineStr">
        <is>
          <t>Terminé</t>
        </is>
      </c>
      <c r="J69" s="48" t="inlineStr">
        <is>
          <t>1 nov. 2026</t>
        </is>
      </c>
      <c r="K69" s="48" t="inlineStr">
        <is>
          <t>6 oct. 2026</t>
        </is>
      </c>
      <c r="L69" s="48" t="inlineStr">
        <is>
          <t>Notebook 04_nettoyage (règles N1 à N6, journal de nettoyage)</t>
        </is>
      </c>
    </row>
    <row r="70" ht="15" customHeight="1" s="41">
      <c r="A70" s="48" t="inlineStr">
        <is>
          <t>T069</t>
        </is>
      </c>
      <c r="B70" s="48" t="inlineStr">
        <is>
          <t>US13</t>
        </is>
      </c>
      <c r="C70" s="48" t="inlineStr">
        <is>
          <t>E3 Qualité et nettoyage</t>
        </is>
      </c>
      <c r="D70" s="48" t="inlineStr">
        <is>
          <t>Sprint 2</t>
        </is>
      </c>
      <c r="E70" s="48" t="inlineStr">
        <is>
          <t>Appliquer les règles de nettoyage dans le pipeline (data/interim → data/clean)</t>
        </is>
      </c>
      <c r="F70" s="48" t="inlineStr">
        <is>
          <t>Python (pandas)</t>
        </is>
      </c>
      <c r="G70" s="48" t="n">
        <v>3</v>
      </c>
      <c r="H70" s="78" t="inlineStr">
        <is>
          <t>Mouncif</t>
        </is>
      </c>
      <c r="I70" s="78" t="inlineStr">
        <is>
          <t>Terminé</t>
        </is>
      </c>
      <c r="J70" s="48" t="inlineStr">
        <is>
          <t>1 nov. 2026</t>
        </is>
      </c>
      <c r="K70" s="48" t="inlineStr">
        <is>
          <t>6 oct. 2026</t>
        </is>
      </c>
      <c r="L70" s="48" t="inlineStr">
        <is>
          <t>Notebook 04_nettoyage (règles N1 à N6, journal de nettoyage)</t>
        </is>
      </c>
    </row>
    <row r="71" ht="15" customHeight="1" s="41">
      <c r="A71" s="48" t="inlineStr">
        <is>
          <t>T070</t>
        </is>
      </c>
      <c r="B71" s="48" t="inlineStr">
        <is>
          <t>US13</t>
        </is>
      </c>
      <c r="C71" s="48" t="inlineStr">
        <is>
          <t>E3 Qualité et nettoyage</t>
        </is>
      </c>
      <c r="D71" s="48" t="inlineStr">
        <is>
          <t>Sprint 2</t>
        </is>
      </c>
      <c r="E71" s="48" t="inlineStr">
        <is>
          <t>Produire le journal de nettoyage (avant et après, lignes touchées)</t>
        </is>
      </c>
      <c r="F71" s="48" t="inlineStr">
        <is>
          <t>Python (pandas)</t>
        </is>
      </c>
      <c r="G71" s="48" t="n">
        <v>1.5</v>
      </c>
      <c r="H71" s="78" t="inlineStr">
        <is>
          <t>Mouncif</t>
        </is>
      </c>
      <c r="I71" s="78" t="inlineStr">
        <is>
          <t>Terminé</t>
        </is>
      </c>
      <c r="J71" s="48" t="inlineStr">
        <is>
          <t>1 nov. 2026</t>
        </is>
      </c>
      <c r="K71" s="48" t="inlineStr">
        <is>
          <t>6 oct. 2026</t>
        </is>
      </c>
      <c r="L71" s="48" t="inlineStr">
        <is>
          <t>Notebook 04_nettoyage (règles N1 à N6, journal de nettoyage)</t>
        </is>
      </c>
    </row>
    <row r="72" ht="15" customHeight="1" s="41">
      <c r="A72" s="48" t="inlineStr">
        <is>
          <t>T071</t>
        </is>
      </c>
      <c r="B72" s="48" t="inlineStr">
        <is>
          <t>US13</t>
        </is>
      </c>
      <c r="C72" s="48" t="inlineStr">
        <is>
          <t>E3 Qualité et nettoyage</t>
        </is>
      </c>
      <c r="D72" s="48" t="inlineStr">
        <is>
          <t>Sprint 2</t>
        </is>
      </c>
      <c r="E72" s="48" t="inlineStr">
        <is>
          <t>Écrire des tests de qualité automatisés (assertions)</t>
        </is>
      </c>
      <c r="F72" s="48" t="inlineStr">
        <is>
          <t>Python (pytest)</t>
        </is>
      </c>
      <c r="G72" s="48" t="n">
        <v>2</v>
      </c>
      <c r="H72" s="78" t="inlineStr">
        <is>
          <t>Mouncif</t>
        </is>
      </c>
      <c r="I72" s="78" t="inlineStr">
        <is>
          <t>À faire</t>
        </is>
      </c>
      <c r="J72" s="48" t="inlineStr">
        <is>
          <t>1 nov. 2026</t>
        </is>
      </c>
      <c r="K72" s="48" t="n"/>
      <c r="L72" s="48" t="n"/>
    </row>
    <row r="73" ht="15" customHeight="1" s="41">
      <c r="A73" s="48" t="inlineStr">
        <is>
          <t>T072</t>
        </is>
      </c>
      <c r="B73" s="48" t="inlineStr">
        <is>
          <t>US27</t>
        </is>
      </c>
      <c r="C73" s="48" t="inlineStr">
        <is>
          <t>E0 Gestion de projet Scrum</t>
        </is>
      </c>
      <c r="D73" s="48" t="inlineStr">
        <is>
          <t>Sprint 2</t>
        </is>
      </c>
      <c r="E73" s="48" t="inlineStr">
        <is>
          <t>Sprint 2 : planification, revue et rétrospective</t>
        </is>
      </c>
      <c r="F73" s="48" t="inlineStr">
        <is>
          <t>Réunion</t>
        </is>
      </c>
      <c r="G73" s="48" t="n">
        <v>2</v>
      </c>
      <c r="H73" s="78" t="inlineStr">
        <is>
          <t>Achraf</t>
        </is>
      </c>
      <c r="I73" s="78" t="inlineStr">
        <is>
          <t>À faire</t>
        </is>
      </c>
      <c r="J73" s="48" t="inlineStr">
        <is>
          <t>1 nov. 2026</t>
        </is>
      </c>
      <c r="K73" s="48" t="n"/>
      <c r="L73" s="48" t="n"/>
    </row>
    <row r="74" ht="23.25" customHeight="1" s="41">
      <c r="A74" s="48" t="inlineStr">
        <is>
          <t>T073</t>
        </is>
      </c>
      <c r="B74" s="48" t="inlineStr">
        <is>
          <t>US14</t>
        </is>
      </c>
      <c r="C74" s="48" t="inlineStr">
        <is>
          <t>E4 Transformation et variables dérivées</t>
        </is>
      </c>
      <c r="D74" s="48" t="inlineStr">
        <is>
          <t>Sprint 3</t>
        </is>
      </c>
      <c r="E74" s="48" t="inlineStr">
        <is>
          <t>Calculer la marge brute en valeur (Montant des ventes − Coût total)</t>
        </is>
      </c>
      <c r="F74" s="48" t="inlineStr">
        <is>
          <t>Python (pandas)</t>
        </is>
      </c>
      <c r="G74" s="48" t="n">
        <v>1</v>
      </c>
      <c r="H74" s="78" t="inlineStr">
        <is>
          <t>Yacine</t>
        </is>
      </c>
      <c r="I74" s="78" t="inlineStr">
        <is>
          <t>Terminé</t>
        </is>
      </c>
      <c r="J74" s="48" t="inlineStr">
        <is>
          <t>8 nov. 2026</t>
        </is>
      </c>
      <c r="K74" s="48" t="inlineStr">
        <is>
          <t>6 oct. 2026</t>
        </is>
      </c>
      <c r="L74" s="48" t="inlineStr">
        <is>
          <t>Notebook 05_variables</t>
        </is>
      </c>
    </row>
    <row r="75" ht="23.25" customHeight="1" s="41">
      <c r="A75" s="48" t="inlineStr">
        <is>
          <t>T074</t>
        </is>
      </c>
      <c r="B75" s="48" t="inlineStr">
        <is>
          <t>US14</t>
        </is>
      </c>
      <c r="C75" s="48" t="inlineStr">
        <is>
          <t>E4 Transformation et variables dérivées</t>
        </is>
      </c>
      <c r="D75" s="48" t="inlineStr">
        <is>
          <t>Sprint 3</t>
        </is>
      </c>
      <c r="E75" s="48" t="inlineStr">
        <is>
          <t>Calculer les ventes nettes (Montant des ventes − Montant du retour) et la marge après retours (hypothèse documentée)</t>
        </is>
      </c>
      <c r="F75" s="48" t="inlineStr">
        <is>
          <t>Python (pandas)</t>
        </is>
      </c>
      <c r="G75" s="48" t="n">
        <v>1.5</v>
      </c>
      <c r="H75" s="78" t="inlineStr">
        <is>
          <t>Yacine</t>
        </is>
      </c>
      <c r="I75" s="78" t="inlineStr">
        <is>
          <t>Terminé</t>
        </is>
      </c>
      <c r="J75" s="48" t="inlineStr">
        <is>
          <t>8 nov. 2026</t>
        </is>
      </c>
      <c r="K75" s="48" t="inlineStr">
        <is>
          <t>6 oct. 2026</t>
        </is>
      </c>
      <c r="L75" s="48" t="inlineStr">
        <is>
          <t>Notebook 05_variables</t>
        </is>
      </c>
    </row>
    <row r="76" ht="23.25" customHeight="1" s="41">
      <c r="A76" s="48" t="inlineStr">
        <is>
          <t>T075</t>
        </is>
      </c>
      <c r="B76" s="48" t="inlineStr">
        <is>
          <t>US14</t>
        </is>
      </c>
      <c r="C76" s="48" t="inlineStr">
        <is>
          <t>E4 Transformation et variables dérivées</t>
        </is>
      </c>
      <c r="D76" s="48" t="inlineStr">
        <is>
          <t>Sprint 3</t>
        </is>
      </c>
      <c r="E76" s="48" t="inlineStr">
        <is>
          <t>Calculer le taux de retour (Quantité de retour / Quantité de vente)</t>
        </is>
      </c>
      <c r="F76" s="48" t="inlineStr">
        <is>
          <t>Python (pandas)</t>
        </is>
      </c>
      <c r="G76" s="48" t="n">
        <v>0.5</v>
      </c>
      <c r="H76" s="78" t="inlineStr">
        <is>
          <t>Barnabé</t>
        </is>
      </c>
      <c r="I76" s="78" t="inlineStr">
        <is>
          <t>Terminé</t>
        </is>
      </c>
      <c r="J76" s="48" t="inlineStr">
        <is>
          <t>8 nov. 2026</t>
        </is>
      </c>
      <c r="K76" s="48" t="inlineStr">
        <is>
          <t>6 oct. 2026</t>
        </is>
      </c>
      <c r="L76" s="48" t="inlineStr">
        <is>
          <t>Notebook 05_variables</t>
        </is>
      </c>
    </row>
    <row r="77" ht="23.25" customHeight="1" s="41">
      <c r="A77" s="48" t="inlineStr">
        <is>
          <t>T076</t>
        </is>
      </c>
      <c r="B77" s="48" t="inlineStr">
        <is>
          <t>US14</t>
        </is>
      </c>
      <c r="C77" s="48" t="inlineStr">
        <is>
          <t>E4 Transformation et variables dérivées</t>
        </is>
      </c>
      <c r="D77" s="48" t="inlineStr">
        <is>
          <t>Sprint 3</t>
        </is>
      </c>
      <c r="E77" s="48" t="inlineStr">
        <is>
          <t>Calculer le taux de remise effectif et les tranches de remise</t>
        </is>
      </c>
      <c r="F77" s="48" t="inlineStr">
        <is>
          <t>Python (pandas)</t>
        </is>
      </c>
      <c r="G77" s="48" t="n">
        <v>1</v>
      </c>
      <c r="H77" s="78" t="inlineStr">
        <is>
          <t>Barnabé</t>
        </is>
      </c>
      <c r="I77" s="78" t="inlineStr">
        <is>
          <t>Terminé</t>
        </is>
      </c>
      <c r="J77" s="48" t="inlineStr">
        <is>
          <t>8 nov. 2026</t>
        </is>
      </c>
      <c r="K77" s="48" t="inlineStr">
        <is>
          <t>6 oct. 2026</t>
        </is>
      </c>
      <c r="L77" s="48" t="inlineStr">
        <is>
          <t>Notebook 05_variables</t>
        </is>
      </c>
    </row>
    <row r="78" ht="23.25" customHeight="1" s="41">
      <c r="A78" s="48" t="inlineStr">
        <is>
          <t>T077</t>
        </is>
      </c>
      <c r="B78" s="48" t="inlineStr">
        <is>
          <t>US14</t>
        </is>
      </c>
      <c r="C78" s="48" t="inlineStr">
        <is>
          <t>E4 Transformation et variables dérivées</t>
        </is>
      </c>
      <c r="D78" s="48" t="inlineStr">
        <is>
          <t>Sprint 3</t>
        </is>
      </c>
      <c r="E78" s="48" t="inlineStr">
        <is>
          <t>Créer l'indicateur promotion et les variables issues de DimPromotion (type, catégorie, % annoncé)</t>
        </is>
      </c>
      <c r="F78" s="48" t="inlineStr">
        <is>
          <t>Python (pandas)</t>
        </is>
      </c>
      <c r="G78" s="48" t="n">
        <v>1</v>
      </c>
      <c r="H78" s="78" t="inlineStr">
        <is>
          <t>Barnabé</t>
        </is>
      </c>
      <c r="I78" s="78" t="inlineStr">
        <is>
          <t>Terminé</t>
        </is>
      </c>
      <c r="J78" s="48" t="inlineStr">
        <is>
          <t>8 nov. 2026</t>
        </is>
      </c>
      <c r="K78" s="48" t="inlineStr">
        <is>
          <t>6 oct. 2026</t>
        </is>
      </c>
      <c r="L78" s="48" t="inlineStr">
        <is>
          <t>Notebook 05_variables</t>
        </is>
      </c>
    </row>
    <row r="79" ht="23.25" customHeight="1" s="41">
      <c r="A79" s="48" t="inlineStr">
        <is>
          <t>T078</t>
        </is>
      </c>
      <c r="B79" s="48" t="inlineStr">
        <is>
          <t>US14</t>
        </is>
      </c>
      <c r="C79" s="48" t="inlineStr">
        <is>
          <t>E4 Transformation et variables dérivées</t>
        </is>
      </c>
      <c r="D79" s="48" t="inlineStr">
        <is>
          <t>Sprint 3</t>
        </is>
      </c>
      <c r="E79" s="48" t="inlineStr">
        <is>
          <t>Mettre à jour le dictionnaire de données avec les variables dérivées</t>
        </is>
      </c>
      <c r="F79" s="48" t="inlineStr">
        <is>
          <t>Excel</t>
        </is>
      </c>
      <c r="G79" s="48" t="n">
        <v>1</v>
      </c>
      <c r="H79" s="78" t="inlineStr">
        <is>
          <t>Mouncif</t>
        </is>
      </c>
      <c r="I79" s="78" t="inlineStr">
        <is>
          <t>À faire</t>
        </is>
      </c>
      <c r="J79" s="48" t="inlineStr">
        <is>
          <t>8 nov. 2026</t>
        </is>
      </c>
      <c r="K79" s="48" t="n"/>
      <c r="L79" s="48" t="n"/>
    </row>
    <row r="80" ht="23.25" customHeight="1" s="41">
      <c r="A80" s="48" t="inlineStr">
        <is>
          <t>T079</t>
        </is>
      </c>
      <c r="B80" s="48" t="inlineStr">
        <is>
          <t>US15</t>
        </is>
      </c>
      <c r="C80" s="48" t="inlineStr">
        <is>
          <t>E4 Transformation et variables dérivées</t>
        </is>
      </c>
      <c r="D80" s="48" t="inlineStr">
        <is>
          <t>Sprint 3</t>
        </is>
      </c>
      <c r="E80" s="48" t="inlineStr">
        <is>
          <t>Construire les agrégats par boutique, produit, promotion et période (data/clean/agregats)</t>
        </is>
      </c>
      <c r="F80" s="48" t="inlineStr">
        <is>
          <t>Python (pandas)</t>
        </is>
      </c>
      <c r="G80" s="48" t="n">
        <v>2</v>
      </c>
      <c r="H80" s="78" t="inlineStr">
        <is>
          <t>Yacine</t>
        </is>
      </c>
      <c r="I80" s="78" t="inlineStr">
        <is>
          <t>Terminé</t>
        </is>
      </c>
      <c r="J80" s="48" t="inlineStr">
        <is>
          <t>8 nov. 2026</t>
        </is>
      </c>
      <c r="K80" s="48" t="inlineStr">
        <is>
          <t>6 oct. 2026</t>
        </is>
      </c>
      <c r="L80" s="48" t="inlineStr">
        <is>
          <t>Notebook 05_variables (dossier data/clean/agregats)</t>
        </is>
      </c>
    </row>
    <row r="81" ht="23.25" customHeight="1" s="41">
      <c r="A81" s="48" t="inlineStr">
        <is>
          <t>T080</t>
        </is>
      </c>
      <c r="B81" s="48" t="inlineStr">
        <is>
          <t>US15</t>
        </is>
      </c>
      <c r="C81" s="48" t="inlineStr">
        <is>
          <t>E4 Transformation et variables dérivées</t>
        </is>
      </c>
      <c r="D81" s="48" t="inlineStr">
        <is>
          <t>Sprint 3</t>
        </is>
      </c>
      <c r="E81" s="48" t="inlineStr">
        <is>
          <t>Construire les séries hebdomadaires pour la prévision</t>
        </is>
      </c>
      <c r="F81" s="48" t="inlineStr">
        <is>
          <t>Python (pandas)</t>
        </is>
      </c>
      <c r="G81" s="48" t="n">
        <v>1.5</v>
      </c>
      <c r="H81" s="78" t="inlineStr">
        <is>
          <t>Yacine</t>
        </is>
      </c>
      <c r="I81" s="78" t="inlineStr">
        <is>
          <t>Terminé</t>
        </is>
      </c>
      <c r="J81" s="48" t="inlineStr">
        <is>
          <t>8 nov. 2026</t>
        </is>
      </c>
      <c r="K81" s="48" t="inlineStr">
        <is>
          <t>6 oct. 2026</t>
        </is>
      </c>
      <c r="L81" s="48" t="inlineStr">
        <is>
          <t>Notebook 05_variables (dossier data/clean/agregats)</t>
        </is>
      </c>
    </row>
    <row r="82" ht="23.25" customHeight="1" s="41">
      <c r="A82" s="48" t="inlineStr">
        <is>
          <t>T081</t>
        </is>
      </c>
      <c r="B82" s="48" t="inlineStr">
        <is>
          <t>US15</t>
        </is>
      </c>
      <c r="C82" s="48" t="inlineStr">
        <is>
          <t>E4 Transformation et variables dérivées</t>
        </is>
      </c>
      <c r="D82" s="48" t="inlineStr">
        <is>
          <t>Sprint 3</t>
        </is>
      </c>
      <c r="E82" s="48" t="inlineStr">
        <is>
          <t>Standardiser les indicateurs de comparaison (par transaction, par jour de promotion, par m²)</t>
        </is>
      </c>
      <c r="F82" s="48" t="inlineStr">
        <is>
          <t>Python (pandas)</t>
        </is>
      </c>
      <c r="G82" s="48" t="n">
        <v>1.5</v>
      </c>
      <c r="H82" s="78" t="inlineStr">
        <is>
          <t>À répartir</t>
        </is>
      </c>
      <c r="I82" s="78" t="inlineStr">
        <is>
          <t>À faire</t>
        </is>
      </c>
      <c r="J82" s="48" t="inlineStr">
        <is>
          <t>8 nov. 2026</t>
        </is>
      </c>
      <c r="K82" s="48" t="n"/>
      <c r="L82" s="48" t="n"/>
    </row>
    <row r="83" ht="15" customHeight="1" s="41">
      <c r="A83" s="48" t="inlineStr">
        <is>
          <t>T082</t>
        </is>
      </c>
      <c r="B83" s="48" t="inlineStr">
        <is>
          <t>US16</t>
        </is>
      </c>
      <c r="C83" s="48" t="inlineStr">
        <is>
          <t>E8 Documentation et livrables</t>
        </is>
      </c>
      <c r="D83" s="48" t="inlineStr">
        <is>
          <t>Sprint 3</t>
        </is>
      </c>
      <c r="E83" s="48" t="inlineStr">
        <is>
          <t>Rédiger : sources, collecte et modèle de données</t>
        </is>
      </c>
      <c r="F83" s="48" t="inlineStr">
        <is>
          <t>Word</t>
        </is>
      </c>
      <c r="G83" s="48" t="n">
        <v>2</v>
      </c>
      <c r="H83" s="78" t="inlineStr">
        <is>
          <t>Toute l'équipe</t>
        </is>
      </c>
      <c r="I83" s="78" t="inlineStr">
        <is>
          <t>En revue</t>
        </is>
      </c>
      <c r="J83" s="48" t="inlineStr">
        <is>
          <t>8 nov. 2026</t>
        </is>
      </c>
      <c r="K83" s="48" t="n"/>
      <c r="L83" s="48" t="inlineStr">
        <is>
          <t>Première version rédigée le 7 oct. 2026 (L3_diagnostic_nettoyage_transformation.docx), à relire par l'équipe</t>
        </is>
      </c>
    </row>
    <row r="84" ht="15" customHeight="1" s="41">
      <c r="A84" s="48" t="inlineStr">
        <is>
          <t>T083</t>
        </is>
      </c>
      <c r="B84" s="48" t="inlineStr">
        <is>
          <t>US16</t>
        </is>
      </c>
      <c r="C84" s="48" t="inlineStr">
        <is>
          <t>E8 Documentation et livrables</t>
        </is>
      </c>
      <c r="D84" s="48" t="inlineStr">
        <is>
          <t>Sprint 3</t>
        </is>
      </c>
      <c r="E84" s="48" t="inlineStr">
        <is>
          <t>Rédiger : diagnostic, règles de nettoyage et transformations</t>
        </is>
      </c>
      <c r="F84" s="48" t="inlineStr">
        <is>
          <t>Word</t>
        </is>
      </c>
      <c r="G84" s="48" t="n">
        <v>3</v>
      </c>
      <c r="H84" s="78" t="inlineStr">
        <is>
          <t>Toute l'équipe</t>
        </is>
      </c>
      <c r="I84" s="78" t="inlineStr">
        <is>
          <t>En revue</t>
        </is>
      </c>
      <c r="J84" s="48" t="inlineStr">
        <is>
          <t>8 nov. 2026</t>
        </is>
      </c>
      <c r="K84" s="48" t="n"/>
      <c r="L84" s="48" t="inlineStr">
        <is>
          <t>Première version rédigée le 7 oct. 2026 (L3_diagnostic_nettoyage_transformation.docx), à relire par l'équipe</t>
        </is>
      </c>
    </row>
    <row r="85" ht="15" customHeight="1" s="41">
      <c r="A85" s="48" t="inlineStr">
        <is>
          <t>T084</t>
        </is>
      </c>
      <c r="B85" s="48" t="inlineStr">
        <is>
          <t>US16</t>
        </is>
      </c>
      <c r="C85" s="48" t="inlineStr">
        <is>
          <t>E8 Documentation et livrables</t>
        </is>
      </c>
      <c r="D85" s="48" t="inlineStr">
        <is>
          <t>Sprint 3</t>
        </is>
      </c>
      <c r="E85" s="48" t="inlineStr">
        <is>
          <t>Rédiger : limites et hypothèses</t>
        </is>
      </c>
      <c r="F85" s="48" t="inlineStr">
        <is>
          <t>Word</t>
        </is>
      </c>
      <c r="G85" s="48" t="n">
        <v>1.5</v>
      </c>
      <c r="H85" s="78" t="inlineStr">
        <is>
          <t>Toute l'équipe</t>
        </is>
      </c>
      <c r="I85" s="78" t="inlineStr">
        <is>
          <t>En revue</t>
        </is>
      </c>
      <c r="J85" s="48" t="inlineStr">
        <is>
          <t>8 nov. 2026</t>
        </is>
      </c>
      <c r="K85" s="48" t="n"/>
      <c r="L85" s="48" t="inlineStr">
        <is>
          <t>Première version rédigée le 7 oct. 2026 (L3_diagnostic_nettoyage_transformation.docx), à relire par l'équipe</t>
        </is>
      </c>
    </row>
    <row r="86" ht="15" customHeight="1" s="41">
      <c r="A86" s="48" t="inlineStr">
        <is>
          <t>T085</t>
        </is>
      </c>
      <c r="B86" s="48" t="inlineStr">
        <is>
          <t>US16</t>
        </is>
      </c>
      <c r="C86" s="48" t="inlineStr">
        <is>
          <t>E8 Documentation et livrables</t>
        </is>
      </c>
      <c r="D86" s="48" t="inlineStr">
        <is>
          <t>Sprint 3</t>
        </is>
      </c>
      <c r="E86" s="48" t="inlineStr">
        <is>
          <t>Produire les visuels de qualité des données</t>
        </is>
      </c>
      <c r="F86" s="48" t="inlineStr">
        <is>
          <t>Python (matplotlib)</t>
        </is>
      </c>
      <c r="G86" s="48" t="n">
        <v>2</v>
      </c>
      <c r="H86" s="78" t="inlineStr">
        <is>
          <t>Mouncif</t>
        </is>
      </c>
      <c r="I86" s="78" t="inlineStr">
        <is>
          <t>Terminé</t>
        </is>
      </c>
      <c r="J86" s="48" t="inlineStr">
        <is>
          <t>8 nov. 2026</t>
        </is>
      </c>
      <c r="K86" s="48" t="inlineStr">
        <is>
          <t>6 oct. 2026</t>
        </is>
      </c>
      <c r="L86" s="48" t="inlineStr">
        <is>
          <t>Figures du notebook 03_diagnostic</t>
        </is>
      </c>
    </row>
    <row r="87" ht="15" customHeight="1" s="41">
      <c r="A87" s="48" t="inlineStr">
        <is>
          <t>T086</t>
        </is>
      </c>
      <c r="B87" s="48" t="inlineStr">
        <is>
          <t>US16</t>
        </is>
      </c>
      <c r="C87" s="48" t="inlineStr">
        <is>
          <t>E8 Documentation et livrables</t>
        </is>
      </c>
      <c r="D87" s="48" t="inlineStr">
        <is>
          <t>Sprint 3</t>
        </is>
      </c>
      <c r="E87" s="48" t="inlineStr">
        <is>
          <t>Relecture croisée, mise en page et remise (9 nov.)</t>
        </is>
      </c>
      <c r="F87" s="48" t="inlineStr">
        <is>
          <t>Word</t>
        </is>
      </c>
      <c r="G87" s="48" t="n">
        <v>1.5</v>
      </c>
      <c r="H87" s="78" t="inlineStr">
        <is>
          <t>Yacine</t>
        </is>
      </c>
      <c r="I87" s="78" t="inlineStr">
        <is>
          <t>À faire</t>
        </is>
      </c>
      <c r="J87" s="48" t="inlineStr">
        <is>
          <t>8 nov. 2026</t>
        </is>
      </c>
      <c r="K87" s="48" t="n"/>
      <c r="L87" s="48" t="inlineStr">
        <is>
          <t>Reste à faire : relecture croisée, nom du cours et du professeur sur la page de garde, figures de la machine de l'équipe</t>
        </is>
      </c>
    </row>
    <row r="88" ht="15" customHeight="1" s="41">
      <c r="A88" s="48" t="inlineStr">
        <is>
          <t>T087</t>
        </is>
      </c>
      <c r="B88" s="48" t="inlineStr">
        <is>
          <t>US27</t>
        </is>
      </c>
      <c r="C88" s="48" t="inlineStr">
        <is>
          <t>E0 Gestion de projet Scrum</t>
        </is>
      </c>
      <c r="D88" s="48" t="inlineStr">
        <is>
          <t>Sprint 3</t>
        </is>
      </c>
      <c r="E88" s="48" t="inlineStr">
        <is>
          <t>Sprint 3 : planification, revue et rétrospective</t>
        </is>
      </c>
      <c r="F88" s="48" t="inlineStr">
        <is>
          <t>Réunion</t>
        </is>
      </c>
      <c r="G88" s="48" t="n">
        <v>1.5</v>
      </c>
      <c r="H88" s="78" t="inlineStr">
        <is>
          <t>Achraf</t>
        </is>
      </c>
      <c r="I88" s="78" t="inlineStr">
        <is>
          <t>À faire</t>
        </is>
      </c>
      <c r="J88" s="48" t="inlineStr">
        <is>
          <t>8 nov. 2026</t>
        </is>
      </c>
      <c r="K88" s="48" t="n"/>
      <c r="L88" s="48" t="n"/>
    </row>
    <row r="89" ht="23.25" customHeight="1" s="41">
      <c r="A89" s="51" t="inlineStr">
        <is>
          <t>T088</t>
        </is>
      </c>
      <c r="B89" s="51" t="inlineStr">
        <is>
          <t>US17</t>
        </is>
      </c>
      <c r="C89" s="51" t="inlineStr">
        <is>
          <t>E5 Analyse exploratoire (Q1 à Q5)</t>
        </is>
      </c>
      <c r="D89" s="51" t="inlineStr">
        <is>
          <t>Sprint 4</t>
        </is>
      </c>
      <c r="E89" s="51" t="inlineStr">
        <is>
          <t>Chiffre d'affaires et marge en valeur par boutique, type de boutique et pays</t>
        </is>
      </c>
      <c r="F89" s="51" t="inlineStr">
        <is>
          <t>Python (pandas, plotly)</t>
        </is>
      </c>
      <c r="G89" s="51" t="n">
        <v>2</v>
      </c>
      <c r="H89" s="78" t="inlineStr">
        <is>
          <t>Yacine</t>
        </is>
      </c>
      <c r="I89" s="78" t="inlineStr">
        <is>
          <t>Terminé</t>
        </is>
      </c>
      <c r="J89" s="51" t="inlineStr">
        <is>
          <t>22 nov. 2026</t>
        </is>
      </c>
      <c r="K89" s="51" t="inlineStr">
        <is>
          <t>6 oct. 2026</t>
        </is>
      </c>
      <c r="L89" s="51" t="inlineStr">
        <is>
          <t>Notebook 06_q1_performance</t>
        </is>
      </c>
    </row>
    <row r="90" ht="23.25" customHeight="1" s="41">
      <c r="A90" s="51" t="inlineStr">
        <is>
          <t>T089</t>
        </is>
      </c>
      <c r="B90" s="51" t="inlineStr">
        <is>
          <t>US17</t>
        </is>
      </c>
      <c r="C90" s="51" t="inlineStr">
        <is>
          <t>E5 Analyse exploratoire (Q1 à Q5)</t>
        </is>
      </c>
      <c r="D90" s="51" t="inlineStr">
        <is>
          <t>Sprint 4</t>
        </is>
      </c>
      <c r="E90" s="51" t="inlineStr">
        <is>
          <t>Ventes par surface et par employé (productivité des boutiques)</t>
        </is>
      </c>
      <c r="F90" s="51" t="inlineStr">
        <is>
          <t>Python (pandas)</t>
        </is>
      </c>
      <c r="G90" s="51" t="n">
        <v>1.5</v>
      </c>
      <c r="H90" s="78" t="inlineStr">
        <is>
          <t>Yacine</t>
        </is>
      </c>
      <c r="I90" s="78" t="inlineStr">
        <is>
          <t>Terminé</t>
        </is>
      </c>
      <c r="J90" s="51" t="inlineStr">
        <is>
          <t>22 nov. 2026</t>
        </is>
      </c>
      <c r="K90" s="51" t="inlineStr">
        <is>
          <t>6 oct. 2026</t>
        </is>
      </c>
      <c r="L90" s="51" t="inlineStr">
        <is>
          <t>Notebook 06_q1_performance : surface et effectif sans lien avec les ventes (corrélations, section 6)</t>
        </is>
      </c>
    </row>
    <row r="91" ht="23.25" customHeight="1" s="41">
      <c r="A91" s="51" t="inlineStr">
        <is>
          <t>T090</t>
        </is>
      </c>
      <c r="B91" s="51" t="inlineStr">
        <is>
          <t>US17</t>
        </is>
      </c>
      <c r="C91" s="51" t="inlineStr">
        <is>
          <t>E5 Analyse exploratoire (Q1 à Q5)</t>
        </is>
      </c>
      <c r="D91" s="51" t="inlineStr">
        <is>
          <t>Sprint 4</t>
        </is>
      </c>
      <c r="E91" s="51" t="inlineStr">
        <is>
          <t>Chiffre d'affaires et marge par catégorie, sous-catégorie et marque</t>
        </is>
      </c>
      <c r="F91" s="51" t="inlineStr">
        <is>
          <t>Python (pandas, seaborn)</t>
        </is>
      </c>
      <c r="G91" s="51" t="n">
        <v>2</v>
      </c>
      <c r="H91" s="78" t="inlineStr">
        <is>
          <t>Barnabé</t>
        </is>
      </c>
      <c r="I91" s="78" t="inlineStr">
        <is>
          <t>Terminé</t>
        </is>
      </c>
      <c r="J91" s="51" t="inlineStr">
        <is>
          <t>22 nov. 2026</t>
        </is>
      </c>
      <c r="K91" s="51" t="inlineStr">
        <is>
          <t>6 oct. 2026</t>
        </is>
      </c>
      <c r="L91" s="51" t="inlineStr">
        <is>
          <t>Notebook 06_q1_performance</t>
        </is>
      </c>
    </row>
    <row r="92" ht="23.25" customHeight="1" s="41">
      <c r="A92" s="51" t="inlineStr">
        <is>
          <t>T091</t>
        </is>
      </c>
      <c r="B92" s="51" t="inlineStr">
        <is>
          <t>US17</t>
        </is>
      </c>
      <c r="C92" s="51" t="inlineStr">
        <is>
          <t>E5 Analyse exploratoire (Q1 à Q5)</t>
        </is>
      </c>
      <c r="D92" s="51" t="inlineStr">
        <is>
          <t>Sprint 4</t>
        </is>
      </c>
      <c r="E92" s="51" t="inlineStr">
        <is>
          <t>Analyse de Pareto (80/20) des produits et des boutiques</t>
        </is>
      </c>
      <c r="F92" s="51" t="inlineStr">
        <is>
          <t>Python (matplotlib)</t>
        </is>
      </c>
      <c r="G92" s="51" t="n">
        <v>1.5</v>
      </c>
      <c r="H92" s="78" t="inlineStr">
        <is>
          <t>Barnabé</t>
        </is>
      </c>
      <c r="I92" s="78" t="inlineStr">
        <is>
          <t>Terminé</t>
        </is>
      </c>
      <c r="J92" s="51" t="inlineStr">
        <is>
          <t>22 nov. 2026</t>
        </is>
      </c>
      <c r="K92" s="51" t="inlineStr">
        <is>
          <t>6 oct. 2026</t>
        </is>
      </c>
      <c r="L92" s="51" t="inlineStr">
        <is>
          <t>Notebook 06_q1_performance</t>
        </is>
      </c>
    </row>
    <row r="93" ht="23.25" customHeight="1" s="41">
      <c r="A93" s="51" t="inlineStr">
        <is>
          <t>T092</t>
        </is>
      </c>
      <c r="B93" s="51" t="inlineStr">
        <is>
          <t>US17</t>
        </is>
      </c>
      <c r="C93" s="51" t="inlineStr">
        <is>
          <t>E5 Analyse exploratoire (Q1 à Q5)</t>
        </is>
      </c>
      <c r="D93" s="51" t="inlineStr">
        <is>
          <t>Sprint 4</t>
        </is>
      </c>
      <c r="E93" s="51" t="inlineStr">
        <is>
          <t>Tendances, saisonnalité et effet COVID-19</t>
        </is>
      </c>
      <c r="F93" s="51" t="inlineStr">
        <is>
          <t>Python (statsmodels)</t>
        </is>
      </c>
      <c r="G93" s="51" t="n">
        <v>2.5</v>
      </c>
      <c r="H93" s="78" t="inlineStr">
        <is>
          <t>Barnabé</t>
        </is>
      </c>
      <c r="I93" s="78" t="inlineStr">
        <is>
          <t>Terminé</t>
        </is>
      </c>
      <c r="J93" s="51" t="inlineStr">
        <is>
          <t>22 nov. 2026</t>
        </is>
      </c>
      <c r="K93" s="51" t="inlineStr">
        <is>
          <t>6 oct. 2026</t>
        </is>
      </c>
      <c r="L93" s="51" t="inlineStr">
        <is>
          <t>Notebook 06_q1_performance</t>
        </is>
      </c>
    </row>
    <row r="94" ht="23.25" customHeight="1" s="41">
      <c r="A94" s="51" t="inlineStr">
        <is>
          <t>T093</t>
        </is>
      </c>
      <c r="B94" s="51" t="inlineStr">
        <is>
          <t>US17</t>
        </is>
      </c>
      <c r="C94" s="51" t="inlineStr">
        <is>
          <t>E5 Analyse exploratoire (Q1 à Q5)</t>
        </is>
      </c>
      <c r="D94" s="51" t="inlineStr">
        <is>
          <t>Sprint 4</t>
        </is>
      </c>
      <c r="E94" s="51" t="inlineStr">
        <is>
          <t>Décomposition de la variance ou ANOVA des facteurs boutique, produit, promotion</t>
        </is>
      </c>
      <c r="F94" s="51" t="inlineStr">
        <is>
          <t>Python (scipy, statsmodels)</t>
        </is>
      </c>
      <c r="G94" s="51" t="n">
        <v>2.5</v>
      </c>
      <c r="H94" s="78" t="inlineStr">
        <is>
          <t>Barnabé</t>
        </is>
      </c>
      <c r="I94" s="78" t="inlineStr">
        <is>
          <t>Terminé</t>
        </is>
      </c>
      <c r="J94" s="51" t="inlineStr">
        <is>
          <t>22 nov. 2026</t>
        </is>
      </c>
      <c r="K94" s="51" t="inlineStr">
        <is>
          <t>6 oct. 2026</t>
        </is>
      </c>
      <c r="L94" s="51" t="inlineStr">
        <is>
          <t>Notebook 06_q1_performance</t>
        </is>
      </c>
    </row>
    <row r="95" ht="23.25" customHeight="1" s="41">
      <c r="A95" s="51" t="inlineStr">
        <is>
          <t>T094</t>
        </is>
      </c>
      <c r="B95" s="51" t="inlineStr">
        <is>
          <t>US17</t>
        </is>
      </c>
      <c r="C95" s="51" t="inlineStr">
        <is>
          <t>E5 Analyse exploratoire (Q1 à Q5)</t>
        </is>
      </c>
      <c r="D95" s="51" t="inlineStr">
        <is>
          <t>Sprint 4</t>
        </is>
      </c>
      <c r="E95" s="51" t="inlineStr">
        <is>
          <t>Rédiger la synthèse Q1</t>
        </is>
      </c>
      <c r="F95" s="51" t="inlineStr">
        <is>
          <t>Word</t>
        </is>
      </c>
      <c r="G95" s="51" t="n">
        <v>1</v>
      </c>
      <c r="H95" s="78" t="inlineStr">
        <is>
          <t>Yacine et Barnabé</t>
        </is>
      </c>
      <c r="I95" s="78" t="inlineStr">
        <is>
          <t>Terminé</t>
        </is>
      </c>
      <c r="J95" s="51" t="inlineStr">
        <is>
          <t>22 nov. 2026</t>
        </is>
      </c>
      <c r="K95" s="51" t="inlineStr">
        <is>
          <t>6 oct. 2026</t>
        </is>
      </c>
      <c r="L95" s="51" t="inlineStr">
        <is>
          <t>Synthèse rédigée dans le notebook 06 ; à reprendre dans le rapport L4 (T150)</t>
        </is>
      </c>
    </row>
    <row r="96" ht="23.25" customHeight="1" s="41">
      <c r="A96" s="51" t="inlineStr">
        <is>
          <t>T095</t>
        </is>
      </c>
      <c r="B96" s="51" t="inlineStr">
        <is>
          <t>US18</t>
        </is>
      </c>
      <c r="C96" s="51" t="inlineStr">
        <is>
          <t>E5 Analyse exploratoire (Q1 à Q5)</t>
        </is>
      </c>
      <c r="D96" s="51" t="inlineStr">
        <is>
          <t>Sprint 4</t>
        </is>
      </c>
      <c r="E96" s="51" t="inlineStr">
        <is>
          <t>Comparer volume, panier et marge en valeur, promo et hors promo</t>
        </is>
      </c>
      <c r="F96" s="51" t="inlineStr">
        <is>
          <t>Python (pandas)</t>
        </is>
      </c>
      <c r="G96" s="51" t="n">
        <v>2</v>
      </c>
      <c r="H96" s="78" t="inlineStr">
        <is>
          <t>Yacine</t>
        </is>
      </c>
      <c r="I96" s="78" t="inlineStr">
        <is>
          <t>Terminé</t>
        </is>
      </c>
      <c r="J96" s="51" t="inlineStr">
        <is>
          <t>22 nov. 2026</t>
        </is>
      </c>
      <c r="K96" s="51" t="inlineStr">
        <is>
          <t>6 oct. 2026</t>
        </is>
      </c>
      <c r="L96" s="51" t="inlineStr">
        <is>
          <t>Notebook 07_q2_promotions (3 angles, 11 tests)</t>
        </is>
      </c>
    </row>
    <row r="97" ht="23.25" customHeight="1" s="41">
      <c r="A97" s="51" t="inlineStr">
        <is>
          <t>T096</t>
        </is>
      </c>
      <c r="B97" s="51" t="inlineStr">
        <is>
          <t>US18</t>
        </is>
      </c>
      <c r="C97" s="51" t="inlineStr">
        <is>
          <t>E5 Analyse exploratoire (Q1 à Q5)</t>
        </is>
      </c>
      <c r="D97" s="51" t="inlineStr">
        <is>
          <t>Sprint 4</t>
        </is>
      </c>
      <c r="E97" s="51" t="inlineStr">
        <is>
          <t>Comparer par type et catégorie de promotion</t>
        </is>
      </c>
      <c r="F97" s="51" t="inlineStr">
        <is>
          <t>Python (pandas, seaborn)</t>
        </is>
      </c>
      <c r="G97" s="51" t="n">
        <v>2</v>
      </c>
      <c r="H97" s="78" t="inlineStr">
        <is>
          <t>Yacine</t>
        </is>
      </c>
      <c r="I97" s="78" t="inlineStr">
        <is>
          <t>Terminé</t>
        </is>
      </c>
      <c r="J97" s="51" t="inlineStr">
        <is>
          <t>22 nov. 2026</t>
        </is>
      </c>
      <c r="K97" s="51" t="inlineStr">
        <is>
          <t>6 oct. 2026</t>
        </is>
      </c>
      <c r="L97" s="51" t="inlineStr">
        <is>
          <t>Notebook 07_q2_promotions (3 angles, 11 tests)</t>
        </is>
      </c>
    </row>
    <row r="98" ht="23.25" customHeight="1" s="41">
      <c r="A98" s="51" t="inlineStr">
        <is>
          <t>T097</t>
        </is>
      </c>
      <c r="B98" s="51" t="inlineStr">
        <is>
          <t>US18</t>
        </is>
      </c>
      <c r="C98" s="51" t="inlineStr">
        <is>
          <t>E5 Analyse exploratoire (Q1 à Q5)</t>
        </is>
      </c>
      <c r="D98" s="51" t="inlineStr">
        <is>
          <t>Sprint 4</t>
        </is>
      </c>
      <c r="E98" s="51" t="inlineStr">
        <is>
          <t>Mesurer l'effet avant, pendant et après chaque promotion (uplift)</t>
        </is>
      </c>
      <c r="F98" s="51" t="inlineStr">
        <is>
          <t>Python (pandas)</t>
        </is>
      </c>
      <c r="G98" s="51" t="n">
        <v>2.5</v>
      </c>
      <c r="H98" s="78" t="inlineStr">
        <is>
          <t>Yacine</t>
        </is>
      </c>
      <c r="I98" s="78" t="inlineStr">
        <is>
          <t>Terminé</t>
        </is>
      </c>
      <c r="J98" s="51" t="inlineStr">
        <is>
          <t>22 nov. 2026</t>
        </is>
      </c>
      <c r="K98" s="51" t="inlineStr">
        <is>
          <t>6 oct. 2026</t>
        </is>
      </c>
      <c r="L98" s="51" t="inlineStr">
        <is>
          <t>Notebook 07_q2_promotions (3 angles, 11 tests)</t>
        </is>
      </c>
    </row>
    <row r="99" ht="23.25" customHeight="1" s="41">
      <c r="A99" s="51" t="inlineStr">
        <is>
          <t>T098</t>
        </is>
      </c>
      <c r="B99" s="51" t="inlineStr">
        <is>
          <t>US18</t>
        </is>
      </c>
      <c r="C99" s="51" t="inlineStr">
        <is>
          <t>E5 Analyse exploratoire (Q1 à Q5)</t>
        </is>
      </c>
      <c r="D99" s="51" t="inlineStr">
        <is>
          <t>Sprint 4</t>
        </is>
      </c>
      <c r="E99" s="51" t="inlineStr">
        <is>
          <t>Tester statistiquement les écarts (Mann-Whitney, Kruskal-Wallis)</t>
        </is>
      </c>
      <c r="F99" s="51" t="inlineStr">
        <is>
          <t>Python (scipy)</t>
        </is>
      </c>
      <c r="G99" s="51" t="n">
        <v>1.5</v>
      </c>
      <c r="H99" s="78" t="inlineStr">
        <is>
          <t>Yacine</t>
        </is>
      </c>
      <c r="I99" s="78" t="inlineStr">
        <is>
          <t>Terminé</t>
        </is>
      </c>
      <c r="J99" s="51" t="inlineStr">
        <is>
          <t>22 nov. 2026</t>
        </is>
      </c>
      <c r="K99" s="51" t="inlineStr">
        <is>
          <t>6 oct. 2026</t>
        </is>
      </c>
      <c r="L99" s="51" t="inlineStr">
        <is>
          <t>Notebook 07_q2_promotions (3 angles, 11 tests)</t>
        </is>
      </c>
    </row>
    <row r="100" ht="23.25" customHeight="1" s="41">
      <c r="A100" s="51" t="inlineStr">
        <is>
          <t>T099</t>
        </is>
      </c>
      <c r="B100" s="51" t="inlineStr">
        <is>
          <t>US18</t>
        </is>
      </c>
      <c r="C100" s="51" t="inlineStr">
        <is>
          <t>E5 Analyse exploratoire (Q1 à Q5)</t>
        </is>
      </c>
      <c r="D100" s="51" t="inlineStr">
        <is>
          <t>Sprint 4</t>
        </is>
      </c>
      <c r="E100" s="51" t="inlineStr">
        <is>
          <t>Rédiger la synthèse Q2</t>
        </is>
      </c>
      <c r="F100" s="51" t="inlineStr">
        <is>
          <t>Word</t>
        </is>
      </c>
      <c r="G100" s="51" t="n">
        <v>1</v>
      </c>
      <c r="H100" s="78" t="inlineStr">
        <is>
          <t>Yacine</t>
        </is>
      </c>
      <c r="I100" s="78" t="inlineStr">
        <is>
          <t>Terminé</t>
        </is>
      </c>
      <c r="J100" s="51" t="inlineStr">
        <is>
          <t>22 nov. 2026</t>
        </is>
      </c>
      <c r="K100" s="51" t="inlineStr">
        <is>
          <t>6 oct. 2026</t>
        </is>
      </c>
      <c r="L100" s="51" t="inlineStr">
        <is>
          <t>Synthèse rédigée dans le notebook 07 ; à reprendre dans le rapport L4 (T150)</t>
        </is>
      </c>
    </row>
    <row r="101" ht="23.25" customHeight="1" s="41">
      <c r="A101" s="51" t="inlineStr">
        <is>
          <t>T100</t>
        </is>
      </c>
      <c r="B101" s="51" t="inlineStr">
        <is>
          <t>US19</t>
        </is>
      </c>
      <c r="C101" s="51" t="inlineStr">
        <is>
          <t>E5 Analyse exploratoire (Q1 à Q5)</t>
        </is>
      </c>
      <c r="D101" s="51" t="inlineStr">
        <is>
          <t>Sprint 4</t>
        </is>
      </c>
      <c r="E101" s="51" t="inlineStr">
        <is>
          <t>Taux de retour par produit, catégorie, boutique et période</t>
        </is>
      </c>
      <c r="F101" s="51" t="inlineStr">
        <is>
          <t>Python (pandas, seaborn)</t>
        </is>
      </c>
      <c r="G101" s="51" t="n">
        <v>2</v>
      </c>
      <c r="H101" s="78" t="inlineStr">
        <is>
          <t>Mouncif</t>
        </is>
      </c>
      <c r="I101" s="78" t="inlineStr">
        <is>
          <t>Terminé</t>
        </is>
      </c>
      <c r="J101" s="51" t="inlineStr">
        <is>
          <t>22 nov. 2026</t>
        </is>
      </c>
      <c r="K101" s="51" t="inlineStr">
        <is>
          <t>6 oct. 2026</t>
        </is>
      </c>
      <c r="L101" s="51" t="inlineStr">
        <is>
          <t>Notebook 08_q3_q4_retours</t>
        </is>
      </c>
    </row>
    <row r="102" ht="23.25" customHeight="1" s="41">
      <c r="A102" s="51" t="inlineStr">
        <is>
          <t>T101</t>
        </is>
      </c>
      <c r="B102" s="51" t="inlineStr">
        <is>
          <t>US19</t>
        </is>
      </c>
      <c r="C102" s="51" t="inlineStr">
        <is>
          <t>E5 Analyse exploratoire (Q1 à Q5)</t>
        </is>
      </c>
      <c r="D102" s="51" t="inlineStr">
        <is>
          <t>Sprint 4</t>
        </is>
      </c>
      <c r="E102" s="51" t="inlineStr">
        <is>
          <t>Identifier produits et boutiques au taux de retour anormal</t>
        </is>
      </c>
      <c r="F102" s="51" t="inlineStr">
        <is>
          <t>Python (pandas)</t>
        </is>
      </c>
      <c r="G102" s="51" t="n">
        <v>1.5</v>
      </c>
      <c r="H102" s="78" t="inlineStr">
        <is>
          <t>Mouncif</t>
        </is>
      </c>
      <c r="I102" s="78" t="inlineStr">
        <is>
          <t>Terminé</t>
        </is>
      </c>
      <c r="J102" s="51" t="inlineStr">
        <is>
          <t>22 nov. 2026</t>
        </is>
      </c>
      <c r="K102" s="51" t="inlineStr">
        <is>
          <t>6 oct. 2026</t>
        </is>
      </c>
      <c r="L102" s="51" t="inlineStr">
        <is>
          <t>Notebook 08_q3_q4_retours</t>
        </is>
      </c>
    </row>
    <row r="103" ht="23.25" customHeight="1" s="41">
      <c r="A103" s="51" t="inlineStr">
        <is>
          <t>T102</t>
        </is>
      </c>
      <c r="B103" s="51" t="inlineStr">
        <is>
          <t>US19</t>
        </is>
      </c>
      <c r="C103" s="51" t="inlineStr">
        <is>
          <t>E5 Analyse exploratoire (Q1 à Q5)</t>
        </is>
      </c>
      <c r="D103" s="51" t="inlineStr">
        <is>
          <t>Sprint 4</t>
        </is>
      </c>
      <c r="E103" s="51" t="inlineStr">
        <is>
          <t>Analyser la relation entre prix unitaire et taux de retour</t>
        </is>
      </c>
      <c r="F103" s="51" t="inlineStr">
        <is>
          <t>Python (seaborn)</t>
        </is>
      </c>
      <c r="G103" s="51" t="n">
        <v>1.5</v>
      </c>
      <c r="H103" s="78" t="inlineStr">
        <is>
          <t>Mouncif</t>
        </is>
      </c>
      <c r="I103" s="78" t="inlineStr">
        <is>
          <t>Terminé</t>
        </is>
      </c>
      <c r="J103" s="51" t="inlineStr">
        <is>
          <t>22 nov. 2026</t>
        </is>
      </c>
      <c r="K103" s="51" t="inlineStr">
        <is>
          <t>6 oct. 2026</t>
        </is>
      </c>
      <c r="L103" s="51" t="inlineStr">
        <is>
          <t>Notebook 08_q3_q4_retours</t>
        </is>
      </c>
    </row>
    <row r="104" ht="23.25" customHeight="1" s="41">
      <c r="A104" s="51" t="inlineStr">
        <is>
          <t>T103</t>
        </is>
      </c>
      <c r="B104" s="51" t="inlineStr">
        <is>
          <t>US19</t>
        </is>
      </c>
      <c r="C104" s="51" t="inlineStr">
        <is>
          <t>E5 Analyse exploratoire (Q1 à Q5)</t>
        </is>
      </c>
      <c r="D104" s="51" t="inlineStr">
        <is>
          <t>Sprint 4</t>
        </is>
      </c>
      <c r="E104" s="51" t="inlineStr">
        <is>
          <t>Rédiger la synthèse Q3</t>
        </is>
      </c>
      <c r="F104" s="51" t="inlineStr">
        <is>
          <t>Word</t>
        </is>
      </c>
      <c r="G104" s="51" t="n">
        <v>1</v>
      </c>
      <c r="H104" s="78" t="inlineStr">
        <is>
          <t>Mouncif</t>
        </is>
      </c>
      <c r="I104" s="78" t="inlineStr">
        <is>
          <t>Terminé</t>
        </is>
      </c>
      <c r="J104" s="51" t="inlineStr">
        <is>
          <t>22 nov. 2026</t>
        </is>
      </c>
      <c r="K104" s="51" t="inlineStr">
        <is>
          <t>6 oct. 2026</t>
        </is>
      </c>
      <c r="L104" s="51" t="inlineStr">
        <is>
          <t>Synthèse rédigée dans le notebook 08 ; à reprendre dans le rapport L4 (T150)</t>
        </is>
      </c>
    </row>
    <row r="105" ht="23.25" customHeight="1" s="41">
      <c r="A105" s="51" t="inlineStr">
        <is>
          <t>T104</t>
        </is>
      </c>
      <c r="B105" s="51" t="inlineStr">
        <is>
          <t>US21</t>
        </is>
      </c>
      <c r="C105" s="51" t="inlineStr">
        <is>
          <t>E5 Analyse exploratoire (Q1 à Q5)</t>
        </is>
      </c>
      <c r="D105" s="51" t="inlineStr">
        <is>
          <t>Sprint 4</t>
        </is>
      </c>
      <c r="E105" s="51" t="inlineStr">
        <is>
          <t>Corrélation entre taux de remise et taux de retour au niveau produit et promotion (Spearman)</t>
        </is>
      </c>
      <c r="F105" s="51" t="inlineStr">
        <is>
          <t>Python (scipy)</t>
        </is>
      </c>
      <c r="G105" s="51" t="n">
        <v>2</v>
      </c>
      <c r="H105" s="78" t="inlineStr">
        <is>
          <t>Mouncif</t>
        </is>
      </c>
      <c r="I105" s="78" t="inlineStr">
        <is>
          <t>Terminé</t>
        </is>
      </c>
      <c r="J105" s="51" t="inlineStr">
        <is>
          <t>22 nov. 2026</t>
        </is>
      </c>
      <c r="K105" s="51" t="inlineStr">
        <is>
          <t>6 oct. 2026</t>
        </is>
      </c>
      <c r="L105" s="51" t="inlineStr">
        <is>
          <t>Notebook 08_q3_q4_retours (régression logistique, rapport de cotes)</t>
        </is>
      </c>
    </row>
    <row r="106" ht="23.25" customHeight="1" s="41">
      <c r="A106" s="51" t="inlineStr">
        <is>
          <t>T105</t>
        </is>
      </c>
      <c r="B106" s="51" t="inlineStr">
        <is>
          <t>US21</t>
        </is>
      </c>
      <c r="C106" s="51" t="inlineStr">
        <is>
          <t>E5 Analyse exploratoire (Q1 à Q5)</t>
        </is>
      </c>
      <c r="D106" s="51" t="inlineStr">
        <is>
          <t>Sprint 4</t>
        </is>
      </c>
      <c r="E106" s="51" t="inlineStr">
        <is>
          <t>Contrôler les facteurs de confusion (catégorie, période) par régression</t>
        </is>
      </c>
      <c r="F106" s="51" t="inlineStr">
        <is>
          <t>Python (statsmodels)</t>
        </is>
      </c>
      <c r="G106" s="51" t="n">
        <v>2.5</v>
      </c>
      <c r="H106" s="78" t="inlineStr">
        <is>
          <t>Mouncif</t>
        </is>
      </c>
      <c r="I106" s="78" t="inlineStr">
        <is>
          <t>Terminé</t>
        </is>
      </c>
      <c r="J106" s="51" t="inlineStr">
        <is>
          <t>22 nov. 2026</t>
        </is>
      </c>
      <c r="K106" s="51" t="inlineStr">
        <is>
          <t>6 oct. 2026</t>
        </is>
      </c>
      <c r="L106" s="51" t="inlineStr">
        <is>
          <t>Notebook 08_q3_q4_retours (régression logistique, rapport de cotes)</t>
        </is>
      </c>
    </row>
    <row r="107" ht="23.25" customHeight="1" s="41">
      <c r="A107" s="51" t="inlineStr">
        <is>
          <t>T106</t>
        </is>
      </c>
      <c r="B107" s="51" t="inlineStr">
        <is>
          <t>US21</t>
        </is>
      </c>
      <c r="C107" s="51" t="inlineStr">
        <is>
          <t>E5 Analyse exploratoire (Q1 à Q5)</t>
        </is>
      </c>
      <c r="D107" s="51" t="inlineStr">
        <is>
          <t>Sprint 4</t>
        </is>
      </c>
      <c r="E107" s="51" t="inlineStr">
        <is>
          <t>Rédiger la synthèse Q4</t>
        </is>
      </c>
      <c r="F107" s="51" t="inlineStr">
        <is>
          <t>Word</t>
        </is>
      </c>
      <c r="G107" s="51" t="n">
        <v>1</v>
      </c>
      <c r="H107" s="78" t="inlineStr">
        <is>
          <t>Mouncif</t>
        </is>
      </c>
      <c r="I107" s="78" t="inlineStr">
        <is>
          <t>Terminé</t>
        </is>
      </c>
      <c r="J107" s="51" t="inlineStr">
        <is>
          <t>22 nov. 2026</t>
        </is>
      </c>
      <c r="K107" s="51" t="inlineStr">
        <is>
          <t>6 oct. 2026</t>
        </is>
      </c>
      <c r="L107" s="51" t="inlineStr">
        <is>
          <t>Synthèse rédigée dans le notebook 08 ; à reprendre dans le rapport L4 (T150)</t>
        </is>
      </c>
    </row>
    <row r="108" ht="23.25" customHeight="1" s="41">
      <c r="A108" s="51" t="inlineStr">
        <is>
          <t>T107</t>
        </is>
      </c>
      <c r="B108" s="51" t="inlineStr">
        <is>
          <t>US28</t>
        </is>
      </c>
      <c r="C108" s="51" t="inlineStr">
        <is>
          <t>E6 Modélisation prédictive</t>
        </is>
      </c>
      <c r="D108" s="51" t="inlineStr">
        <is>
          <t>Sprint 4</t>
        </is>
      </c>
      <c r="E108" s="51" t="inlineStr">
        <is>
          <t>Définir la cible (vente avec retour, taux de retour) et les variables explicatives (remise, prix, catégorie, boutique, période)</t>
        </is>
      </c>
      <c r="F108" s="51" t="inlineStr">
        <is>
          <t>Python (pandas)</t>
        </is>
      </c>
      <c r="G108" s="51" t="n">
        <v>1</v>
      </c>
      <c r="H108" s="78" t="inlineStr">
        <is>
          <t>Yacine</t>
        </is>
      </c>
      <c r="I108" s="78" t="inlineStr">
        <is>
          <t>Terminé</t>
        </is>
      </c>
      <c r="J108" s="51" t="inlineStr">
        <is>
          <t>22 nov. 2026</t>
        </is>
      </c>
      <c r="K108" s="51" t="inlineStr">
        <is>
          <t>6 oct. 2026</t>
        </is>
      </c>
      <c r="L108" s="51" t="inlineStr">
        <is>
          <t>Notebook 08_q3_q4_retours, section 7</t>
        </is>
      </c>
    </row>
    <row r="109" ht="15" customHeight="1" s="41">
      <c r="A109" s="51" t="inlineStr">
        <is>
          <t>T108</t>
        </is>
      </c>
      <c r="B109" s="51" t="inlineStr">
        <is>
          <t>US28</t>
        </is>
      </c>
      <c r="C109" s="51" t="inlineStr">
        <is>
          <t>E6 Modélisation prédictive</t>
        </is>
      </c>
      <c r="D109" s="51" t="inlineStr">
        <is>
          <t>Sprint 4</t>
        </is>
      </c>
      <c r="E109" s="51" t="inlineStr">
        <is>
          <t>Entraîner une régression logistique et un modèle de gradient boosting</t>
        </is>
      </c>
      <c r="F109" s="51" t="inlineStr">
        <is>
          <t>Python (scikit-learn)</t>
        </is>
      </c>
      <c r="G109" s="51" t="n">
        <v>3</v>
      </c>
      <c r="H109" s="78" t="inlineStr">
        <is>
          <t>Yacine</t>
        </is>
      </c>
      <c r="I109" s="78" t="inlineStr">
        <is>
          <t>Terminé</t>
        </is>
      </c>
      <c r="J109" s="51" t="inlineStr">
        <is>
          <t>22 nov. 2026</t>
        </is>
      </c>
      <c r="K109" s="51" t="inlineStr">
        <is>
          <t>6 oct. 2026</t>
        </is>
      </c>
      <c r="L109" s="51" t="inlineStr">
        <is>
          <t>Régression logistique seulement. Gradient boosting non lancé : AUC de 0,57, aucun signal à exploiter</t>
        </is>
      </c>
    </row>
    <row r="110" ht="15" customHeight="1" s="41">
      <c r="A110" s="51" t="inlineStr">
        <is>
          <t>T109</t>
        </is>
      </c>
      <c r="B110" s="51" t="inlineStr">
        <is>
          <t>US28</t>
        </is>
      </c>
      <c r="C110" s="51" t="inlineStr">
        <is>
          <t>E6 Modélisation prédictive</t>
        </is>
      </c>
      <c r="D110" s="51" t="inlineStr">
        <is>
          <t>Sprint 4</t>
        </is>
      </c>
      <c r="E110" s="51" t="inlineStr">
        <is>
          <t>Évaluer les modèles (AUC, précision, rappel) sur une période de test</t>
        </is>
      </c>
      <c r="F110" s="51" t="inlineStr">
        <is>
          <t>Python (scikit-learn)</t>
        </is>
      </c>
      <c r="G110" s="51" t="n">
        <v>1.5</v>
      </c>
      <c r="H110" s="78" t="inlineStr">
        <is>
          <t>Yacine</t>
        </is>
      </c>
      <c r="I110" s="78" t="inlineStr">
        <is>
          <t>Terminé</t>
        </is>
      </c>
      <c r="J110" s="51" t="inlineStr">
        <is>
          <t>22 nov. 2026</t>
        </is>
      </c>
      <c r="K110" s="51" t="inlineStr">
        <is>
          <t>6 oct. 2026</t>
        </is>
      </c>
      <c r="L110" s="51" t="inlineStr">
        <is>
          <t>Notebook 08_q3_q4_retours, section 7</t>
        </is>
      </c>
    </row>
    <row r="111" ht="15" customHeight="1" s="41">
      <c r="A111" s="51" t="inlineStr">
        <is>
          <t>T110</t>
        </is>
      </c>
      <c r="B111" s="51" t="inlineStr">
        <is>
          <t>US28</t>
        </is>
      </c>
      <c r="C111" s="51" t="inlineStr">
        <is>
          <t>E6 Modélisation prédictive</t>
        </is>
      </c>
      <c r="D111" s="51" t="inlineStr">
        <is>
          <t>Sprint 4</t>
        </is>
      </c>
      <c r="E111" s="51" t="inlineStr">
        <is>
          <t>Interpréter les facteurs de retour (importance des variables, SHAP)</t>
        </is>
      </c>
      <c r="F111" s="51" t="inlineStr">
        <is>
          <t>Python (shap)</t>
        </is>
      </c>
      <c r="G111" s="51" t="n">
        <v>2</v>
      </c>
      <c r="H111" s="78" t="inlineStr">
        <is>
          <t>Yacine</t>
        </is>
      </c>
      <c r="I111" s="78" t="inlineStr">
        <is>
          <t>Écartée</t>
        </is>
      </c>
      <c r="J111" s="51" t="inlineStr">
        <is>
          <t>22 nov. 2026</t>
        </is>
      </c>
      <c r="K111" s="51" t="n"/>
      <c r="L111" s="51" t="inlineStr">
        <is>
          <t>Sans objet : le modèle ne prédit pas mieux que le hasard (AUC de 0,57)</t>
        </is>
      </c>
    </row>
    <row r="112" ht="15" customHeight="1" s="41">
      <c r="A112" s="51" t="inlineStr">
        <is>
          <t>T111</t>
        </is>
      </c>
      <c r="B112" s="51" t="inlineStr">
        <is>
          <t>US20</t>
        </is>
      </c>
      <c r="C112" s="51" t="inlineStr">
        <is>
          <t>E7 Tableaux de bord</t>
        </is>
      </c>
      <c r="D112" s="51" t="inlineStr">
        <is>
          <t>Sprint 4</t>
        </is>
      </c>
      <c r="E112" s="51" t="inlineStr">
        <is>
          <t>Concevoir la maquette du tableau de bord Excel (indicateurs clés, graphiques)</t>
        </is>
      </c>
      <c r="F112" s="51" t="inlineStr">
        <is>
          <t>Excel</t>
        </is>
      </c>
      <c r="G112" s="51" t="n">
        <v>1.5</v>
      </c>
      <c r="H112" s="78" t="inlineStr">
        <is>
          <t>Barnabé</t>
        </is>
      </c>
      <c r="I112" s="78" t="inlineStr">
        <is>
          <t>À faire</t>
        </is>
      </c>
      <c r="J112" s="51" t="inlineStr">
        <is>
          <t>22 nov. 2026</t>
        </is>
      </c>
      <c r="K112" s="51" t="n"/>
      <c r="L112" s="51" t="n"/>
    </row>
    <row r="113" ht="15" customHeight="1" s="41">
      <c r="A113" s="51" t="inlineStr">
        <is>
          <t>T112</t>
        </is>
      </c>
      <c r="B113" s="51" t="inlineStr">
        <is>
          <t>US20</t>
        </is>
      </c>
      <c r="C113" s="51" t="inlineStr">
        <is>
          <t>E7 Tableaux de bord</t>
        </is>
      </c>
      <c r="D113" s="51" t="inlineStr">
        <is>
          <t>Sprint 4</t>
        </is>
      </c>
      <c r="E113" s="51" t="inlineStr">
        <is>
          <t>Importer les données agrégées avec Power Query</t>
        </is>
      </c>
      <c r="F113" s="51" t="inlineStr">
        <is>
          <t>Excel (Power Query)</t>
        </is>
      </c>
      <c r="G113" s="51" t="n">
        <v>1.5</v>
      </c>
      <c r="H113" s="78" t="inlineStr">
        <is>
          <t>Barnabé</t>
        </is>
      </c>
      <c r="I113" s="78" t="inlineStr">
        <is>
          <t>À faire</t>
        </is>
      </c>
      <c r="J113" s="51" t="inlineStr">
        <is>
          <t>22 nov. 2026</t>
        </is>
      </c>
      <c r="K113" s="51" t="n"/>
      <c r="L113" s="51" t="n"/>
    </row>
    <row r="114" ht="15" customHeight="1" s="41">
      <c r="A114" s="51" t="inlineStr">
        <is>
          <t>T113</t>
        </is>
      </c>
      <c r="B114" s="51" t="inlineStr">
        <is>
          <t>US20</t>
        </is>
      </c>
      <c r="C114" s="51" t="inlineStr">
        <is>
          <t>E7 Tableaux de bord</t>
        </is>
      </c>
      <c r="D114" s="51" t="inlineStr">
        <is>
          <t>Sprint 4</t>
        </is>
      </c>
      <c r="E114" s="51" t="inlineStr">
        <is>
          <t>Construire tableaux croisés dynamiques et graphiques</t>
        </is>
      </c>
      <c r="F114" s="51" t="inlineStr">
        <is>
          <t>Excel</t>
        </is>
      </c>
      <c r="G114" s="51" t="n">
        <v>3</v>
      </c>
      <c r="H114" s="78" t="inlineStr">
        <is>
          <t>Barnabé</t>
        </is>
      </c>
      <c r="I114" s="78" t="inlineStr">
        <is>
          <t>À faire</t>
        </is>
      </c>
      <c r="J114" s="51" t="inlineStr">
        <is>
          <t>22 nov. 2026</t>
        </is>
      </c>
      <c r="K114" s="51" t="n"/>
      <c r="L114" s="51" t="n"/>
    </row>
    <row r="115" ht="15" customHeight="1" s="41">
      <c r="A115" s="51" t="inlineStr">
        <is>
          <t>T114</t>
        </is>
      </c>
      <c r="B115" s="51" t="inlineStr">
        <is>
          <t>US20</t>
        </is>
      </c>
      <c r="C115" s="51" t="inlineStr">
        <is>
          <t>E7 Tableaux de bord</t>
        </is>
      </c>
      <c r="D115" s="51" t="inlineStr">
        <is>
          <t>Sprint 4</t>
        </is>
      </c>
      <c r="E115" s="51" t="inlineStr">
        <is>
          <t>Ajouter segments et chronologie (boutique, catégorie, période, promotion)</t>
        </is>
      </c>
      <c r="F115" s="51" t="inlineStr">
        <is>
          <t>Excel</t>
        </is>
      </c>
      <c r="G115" s="51" t="n">
        <v>1.5</v>
      </c>
      <c r="H115" s="78" t="inlineStr">
        <is>
          <t>Barnabé</t>
        </is>
      </c>
      <c r="I115" s="78" t="inlineStr">
        <is>
          <t>À faire</t>
        </is>
      </c>
      <c r="J115" s="51" t="inlineStr">
        <is>
          <t>22 nov. 2026</t>
        </is>
      </c>
      <c r="K115" s="51" t="n"/>
      <c r="L115" s="51" t="n"/>
    </row>
    <row r="116" ht="15" customHeight="1" s="41">
      <c r="A116" s="51" t="inlineStr">
        <is>
          <t>T115</t>
        </is>
      </c>
      <c r="B116" s="51" t="inlineStr">
        <is>
          <t>US20</t>
        </is>
      </c>
      <c r="C116" s="51" t="inlineStr">
        <is>
          <t>E7 Tableaux de bord</t>
        </is>
      </c>
      <c r="D116" s="51" t="inlineStr">
        <is>
          <t>Sprint 4</t>
        </is>
      </c>
      <c r="E116" s="51" t="inlineStr">
        <is>
          <t>Mettre en forme et faire tester par un autre membre</t>
        </is>
      </c>
      <c r="F116" s="51" t="inlineStr">
        <is>
          <t>Excel</t>
        </is>
      </c>
      <c r="G116" s="51" t="n">
        <v>1.5</v>
      </c>
      <c r="H116" s="78" t="inlineStr">
        <is>
          <t>Barnabé</t>
        </is>
      </c>
      <c r="I116" s="78" t="inlineStr">
        <is>
          <t>À faire</t>
        </is>
      </c>
      <c r="J116" s="51" t="inlineStr">
        <is>
          <t>22 nov. 2026</t>
        </is>
      </c>
      <c r="K116" s="51" t="n"/>
      <c r="L116" s="51" t="n"/>
    </row>
    <row r="117" ht="15" customHeight="1" s="41">
      <c r="A117" s="51" t="inlineStr">
        <is>
          <t>T116</t>
        </is>
      </c>
      <c r="B117" s="51" t="inlineStr">
        <is>
          <t>US27</t>
        </is>
      </c>
      <c r="C117" s="51" t="inlineStr">
        <is>
          <t>E0 Gestion de projet Scrum</t>
        </is>
      </c>
      <c r="D117" s="51" t="inlineStr">
        <is>
          <t>Sprint 4</t>
        </is>
      </c>
      <c r="E117" s="51" t="inlineStr">
        <is>
          <t>Sprint 4 : planification, revue et rétrospective</t>
        </is>
      </c>
      <c r="F117" s="51" t="inlineStr">
        <is>
          <t>Réunion</t>
        </is>
      </c>
      <c r="G117" s="51" t="n">
        <v>2</v>
      </c>
      <c r="H117" s="78" t="inlineStr">
        <is>
          <t>Achraf</t>
        </is>
      </c>
      <c r="I117" s="78" t="inlineStr">
        <is>
          <t>À faire</t>
        </is>
      </c>
      <c r="J117" s="51" t="inlineStr">
        <is>
          <t>22 nov. 2026</t>
        </is>
      </c>
      <c r="K117" s="51" t="n"/>
      <c r="L117" s="51" t="n"/>
    </row>
    <row r="118" ht="23.25" customHeight="1" s="41">
      <c r="A118" s="51" t="inlineStr">
        <is>
          <t>T117</t>
        </is>
      </c>
      <c r="B118" s="51" t="inlineStr">
        <is>
          <t>US22</t>
        </is>
      </c>
      <c r="C118" s="51" t="inlineStr">
        <is>
          <t>E5 Analyse exploratoire (Q1 à Q5)</t>
        </is>
      </c>
      <c r="D118" s="51" t="inlineStr">
        <is>
          <t>Sprint 5</t>
        </is>
      </c>
      <c r="E118" s="51" t="inlineStr">
        <is>
          <t>Marge en valeur par tranche de remise et par catégorie</t>
        </is>
      </c>
      <c r="F118" s="51" t="inlineStr">
        <is>
          <t>Python (pandas)</t>
        </is>
      </c>
      <c r="G118" s="51" t="n">
        <v>2</v>
      </c>
      <c r="H118" s="78" t="inlineStr">
        <is>
          <t>Barnabé</t>
        </is>
      </c>
      <c r="I118" s="78" t="inlineStr">
        <is>
          <t>Terminé</t>
        </is>
      </c>
      <c r="J118" s="51" t="inlineStr">
        <is>
          <t>6 déc. 2026</t>
        </is>
      </c>
      <c r="K118" s="51" t="inlineStr">
        <is>
          <t>7 oct. 2026</t>
        </is>
      </c>
      <c r="L118" s="51" t="inlineStr">
        <is>
          <t>Notebook 09_q5_remises, sections 2 et 7</t>
        </is>
      </c>
    </row>
    <row r="119" ht="23.25" customHeight="1" s="41">
      <c r="A119" s="51" t="inlineStr">
        <is>
          <t>T118</t>
        </is>
      </c>
      <c r="B119" s="51" t="inlineStr">
        <is>
          <t>US22</t>
        </is>
      </c>
      <c r="C119" s="51" t="inlineStr">
        <is>
          <t>E5 Analyse exploratoire (Q1 à Q5)</t>
        </is>
      </c>
      <c r="D119" s="51" t="inlineStr">
        <is>
          <t>Sprint 5</t>
        </is>
      </c>
      <c r="E119" s="51" t="inlineStr">
        <is>
          <t>Estimer l'élasticité descriptive du volume à la remise</t>
        </is>
      </c>
      <c r="F119" s="51" t="inlineStr">
        <is>
          <t>Python (statsmodels)</t>
        </is>
      </c>
      <c r="G119" s="51" t="n">
        <v>2.5</v>
      </c>
      <c r="H119" s="78" t="inlineStr">
        <is>
          <t>Barnabé</t>
        </is>
      </c>
      <c r="I119" s="78" t="inlineStr">
        <is>
          <t>Terminé</t>
        </is>
      </c>
      <c r="J119" s="51" t="inlineStr">
        <is>
          <t>6 déc. 2026</t>
        </is>
      </c>
      <c r="K119" s="51" t="inlineStr">
        <is>
          <t>7 oct. 2026</t>
        </is>
      </c>
      <c r="L119" s="51" t="inlineStr">
        <is>
          <t>Notebook 09 : supplément d'unités d'une ligne remisée, par niveau et par type de boutique (sections 4 à 6)</t>
        </is>
      </c>
    </row>
    <row r="120" ht="23.25" customHeight="1" s="41">
      <c r="A120" s="51" t="inlineStr">
        <is>
          <t>T119</t>
        </is>
      </c>
      <c r="B120" s="51" t="inlineStr">
        <is>
          <t>US22</t>
        </is>
      </c>
      <c r="C120" s="51" t="inlineStr">
        <is>
          <t>E5 Analyse exploratoire (Q1 à Q5)</t>
        </is>
      </c>
      <c r="D120" s="51" t="inlineStr">
        <is>
          <t>Sprint 5</t>
        </is>
      </c>
      <c r="E120" s="51" t="inlineStr">
        <is>
          <t>Identifier les seuils de remise où la marge en valeur baisse ou les retours augmentent</t>
        </is>
      </c>
      <c r="F120" s="51" t="inlineStr">
        <is>
          <t>Python (pandas)</t>
        </is>
      </c>
      <c r="G120" s="51" t="n">
        <v>2</v>
      </c>
      <c r="H120" s="78" t="inlineStr">
        <is>
          <t>Barnabé</t>
        </is>
      </c>
      <c r="I120" s="78" t="inlineStr">
        <is>
          <t>Terminé</t>
        </is>
      </c>
      <c r="J120" s="51" t="inlineStr">
        <is>
          <t>6 déc. 2026</t>
        </is>
      </c>
      <c r="K120" s="51" t="inlineStr">
        <is>
          <t>7 oct. 2026</t>
        </is>
      </c>
      <c r="L120" s="51" t="inlineStr">
        <is>
          <t>Seuils de rentabilité dans 07 (section 9), bornes de chaque décision dans 09 (section 8)</t>
        </is>
      </c>
    </row>
    <row r="121" ht="23.25" customHeight="1" s="41">
      <c r="A121" s="51" t="inlineStr">
        <is>
          <t>T120</t>
        </is>
      </c>
      <c r="B121" s="51" t="inlineStr">
        <is>
          <t>US22</t>
        </is>
      </c>
      <c r="C121" s="51" t="inlineStr">
        <is>
          <t>E5 Analyse exploratoire (Q1 à Q5)</t>
        </is>
      </c>
      <c r="D121" s="51" t="inlineStr">
        <is>
          <t>Sprint 5</t>
        </is>
      </c>
      <c r="E121" s="51" t="inlineStr">
        <is>
          <t>Rédiger la synthèse Q5 et les pistes de recommandations</t>
        </is>
      </c>
      <c r="F121" s="51" t="inlineStr">
        <is>
          <t>Word</t>
        </is>
      </c>
      <c r="G121" s="51" t="n">
        <v>1.5</v>
      </c>
      <c r="H121" s="78" t="inlineStr">
        <is>
          <t>Barnabé</t>
        </is>
      </c>
      <c r="I121" s="78" t="inlineStr">
        <is>
          <t>Terminé</t>
        </is>
      </c>
      <c r="J121" s="51" t="inlineStr">
        <is>
          <t>6 déc. 2026</t>
        </is>
      </c>
      <c r="K121" s="51" t="inlineStr">
        <is>
          <t>7 oct. 2026</t>
        </is>
      </c>
      <c r="L121" s="51" t="inlineStr">
        <is>
          <t>Synthèse rédigée dans le notebook 09 ; à reprendre dans le rapport L4 (T150)</t>
        </is>
      </c>
    </row>
    <row r="122" ht="15" customHeight="1" s="41">
      <c r="A122" s="51" t="inlineStr">
        <is>
          <t>T121</t>
        </is>
      </c>
      <c r="B122" s="51" t="inlineStr">
        <is>
          <t>US23</t>
        </is>
      </c>
      <c r="C122" s="51" t="inlineStr">
        <is>
          <t>E6 Modélisation prédictive</t>
        </is>
      </c>
      <c r="D122" s="51" t="inlineStr">
        <is>
          <t>Sprint 5</t>
        </is>
      </c>
      <c r="E122" s="51" t="inlineStr">
        <is>
          <t>Définir la cible et la granularité de prévision (ventes mensuelles par catégorie et par année de lancement des produits)</t>
        </is>
      </c>
      <c r="F122" s="51" t="inlineStr">
        <is>
          <t>Réunion</t>
        </is>
      </c>
      <c r="G122" s="51" t="n">
        <v>1</v>
      </c>
      <c r="H122" s="78" t="inlineStr">
        <is>
          <t>À répartir</t>
        </is>
      </c>
      <c r="I122" s="78" t="inlineStr">
        <is>
          <t>À faire</t>
        </is>
      </c>
      <c r="J122" s="51" t="inlineStr">
        <is>
          <t>6 déc. 2026</t>
        </is>
      </c>
      <c r="K122" s="51" t="n"/>
      <c r="L122" s="51" t="inlineStr">
        <is>
          <t>Libellé modifié le 7 oct. 2026 : prévision par l'âge du catalogue</t>
        </is>
      </c>
    </row>
    <row r="123" ht="15" customHeight="1" s="41">
      <c r="A123" s="51" t="inlineStr">
        <is>
          <t>T122</t>
        </is>
      </c>
      <c r="B123" s="51" t="inlineStr">
        <is>
          <t>US23</t>
        </is>
      </c>
      <c r="C123" s="51" t="inlineStr">
        <is>
          <t>E6 Modélisation prédictive</t>
        </is>
      </c>
      <c r="D123" s="51" t="inlineStr">
        <is>
          <t>Sprint 5</t>
        </is>
      </c>
      <c r="E123" s="51" t="inlineStr">
        <is>
          <t>Découpage temporel entraînement et test</t>
        </is>
      </c>
      <c r="F123" s="51" t="inlineStr">
        <is>
          <t>Python (scikit-learn)</t>
        </is>
      </c>
      <c r="G123" s="51" t="n">
        <v>1</v>
      </c>
      <c r="H123" s="78" t="inlineStr">
        <is>
          <t>À répartir</t>
        </is>
      </c>
      <c r="I123" s="78" t="inlineStr">
        <is>
          <t>À faire</t>
        </is>
      </c>
      <c r="J123" s="51" t="inlineStr">
        <is>
          <t>6 déc. 2026</t>
        </is>
      </c>
      <c r="K123" s="51" t="n"/>
      <c r="L123" s="51" t="n"/>
    </row>
    <row r="124" ht="15" customHeight="1" s="41">
      <c r="A124" s="51" t="inlineStr">
        <is>
          <t>T123</t>
        </is>
      </c>
      <c r="B124" s="51" t="inlineStr">
        <is>
          <t>US23</t>
        </is>
      </c>
      <c r="C124" s="51" t="inlineStr">
        <is>
          <t>E6 Modélisation prédictive</t>
        </is>
      </c>
      <c r="D124" s="51" t="inlineStr">
        <is>
          <t>Sprint 5</t>
        </is>
      </c>
      <c r="E124" s="51" t="inlineStr">
        <is>
          <t>Modèle de référence naïf saisonnier</t>
        </is>
      </c>
      <c r="F124" s="51" t="inlineStr">
        <is>
          <t>Python</t>
        </is>
      </c>
      <c r="G124" s="51" t="n">
        <v>1</v>
      </c>
      <c r="H124" s="78" t="inlineStr">
        <is>
          <t>À répartir</t>
        </is>
      </c>
      <c r="I124" s="78" t="inlineStr">
        <is>
          <t>À faire</t>
        </is>
      </c>
      <c r="J124" s="51" t="inlineStr">
        <is>
          <t>6 déc. 2026</t>
        </is>
      </c>
      <c r="K124" s="51" t="n"/>
      <c r="L124" s="51" t="n"/>
    </row>
    <row r="125" ht="15" customHeight="1" s="41">
      <c r="A125" s="51" t="inlineStr">
        <is>
          <t>T124</t>
        </is>
      </c>
      <c r="B125" s="51" t="inlineStr">
        <is>
          <t>US23</t>
        </is>
      </c>
      <c r="C125" s="51" t="inlineStr">
        <is>
          <t>E6 Modélisation prédictive</t>
        </is>
      </c>
      <c r="D125" s="51" t="inlineStr">
        <is>
          <t>Sprint 5</t>
        </is>
      </c>
      <c r="E125" s="51" t="inlineStr">
        <is>
          <t>Modèle SARIMA</t>
        </is>
      </c>
      <c r="F125" s="51" t="inlineStr">
        <is>
          <t>Python (statsmodels)</t>
        </is>
      </c>
      <c r="G125" s="51" t="n">
        <v>3</v>
      </c>
      <c r="H125" s="78" t="inlineStr">
        <is>
          <t>Yacine</t>
        </is>
      </c>
      <c r="I125" s="78" t="inlineStr">
        <is>
          <t>Écartée</t>
        </is>
      </c>
      <c r="J125" s="51" t="inlineStr">
        <is>
          <t>6 déc. 2026</t>
        </is>
      </c>
      <c r="K125" s="51" t="n"/>
      <c r="L125" s="51" t="inlineStr">
        <is>
          <t>24 mois de données : deux cycles saisonniers seulement, insuffisant pour un modèle SARIMA</t>
        </is>
      </c>
    </row>
    <row r="126" ht="15" customHeight="1" s="41">
      <c r="A126" s="51" t="inlineStr">
        <is>
          <t>T125</t>
        </is>
      </c>
      <c r="B126" s="51" t="inlineStr">
        <is>
          <t>US23</t>
        </is>
      </c>
      <c r="C126" s="51" t="inlineStr">
        <is>
          <t>E6 Modélisation prédictive</t>
        </is>
      </c>
      <c r="D126" s="51" t="inlineStr">
        <is>
          <t>Sprint 5</t>
        </is>
      </c>
      <c r="E126" s="51" t="inlineStr">
        <is>
          <t>Modèle de gradient boosting avec variables de calendrier et d'âge du produit</t>
        </is>
      </c>
      <c r="F126" s="51" t="inlineStr">
        <is>
          <t>Python (scikit-learn)</t>
        </is>
      </c>
      <c r="G126" s="51" t="n">
        <v>3</v>
      </c>
      <c r="H126" s="78" t="inlineStr">
        <is>
          <t>À répartir</t>
        </is>
      </c>
      <c r="I126" s="78" t="inlineStr">
        <is>
          <t>À faire</t>
        </is>
      </c>
      <c r="J126" s="51" t="inlineStr">
        <is>
          <t>6 déc. 2026</t>
        </is>
      </c>
      <c r="K126" s="51" t="n"/>
      <c r="L126" s="51" t="inlineStr">
        <is>
          <t>Libellé modifié le 7 oct. 2026 : la promotion n'est plus une variable explicative</t>
        </is>
      </c>
    </row>
    <row r="127" ht="15" customHeight="1" s="41">
      <c r="A127" s="51" t="inlineStr">
        <is>
          <t>T126</t>
        </is>
      </c>
      <c r="B127" s="51" t="inlineStr">
        <is>
          <t>US23</t>
        </is>
      </c>
      <c r="C127" s="51" t="inlineStr">
        <is>
          <t>E6 Modélisation prédictive</t>
        </is>
      </c>
      <c r="D127" s="51" t="inlineStr">
        <is>
          <t>Sprint 5</t>
        </is>
      </c>
      <c r="E127" s="51" t="inlineStr">
        <is>
          <t>Évaluer et comparer les modèles (MAE, MAPE)</t>
        </is>
      </c>
      <c r="F127" s="51" t="inlineStr">
        <is>
          <t>Python (scikit-learn)</t>
        </is>
      </c>
      <c r="G127" s="51" t="n">
        <v>1.5</v>
      </c>
      <c r="H127" s="78" t="inlineStr">
        <is>
          <t>À répartir</t>
        </is>
      </c>
      <c r="I127" s="78" t="inlineStr">
        <is>
          <t>À faire</t>
        </is>
      </c>
      <c r="J127" s="51" t="inlineStr">
        <is>
          <t>6 déc. 2026</t>
        </is>
      </c>
      <c r="K127" s="51" t="n"/>
      <c r="L127" s="51" t="n"/>
    </row>
    <row r="128" ht="15" customHeight="1" s="41">
      <c r="A128" s="51" t="inlineStr">
        <is>
          <t>T127</t>
        </is>
      </c>
      <c r="B128" s="51" t="inlineStr">
        <is>
          <t>US23</t>
        </is>
      </c>
      <c r="C128" s="51" t="inlineStr">
        <is>
          <t>E6 Modélisation prédictive</t>
        </is>
      </c>
      <c r="D128" s="51" t="inlineStr">
        <is>
          <t>Sprint 5</t>
        </is>
      </c>
      <c r="E128" s="51" t="inlineStr">
        <is>
          <t>Interpréter les résultats (importance des variables)</t>
        </is>
      </c>
      <c r="F128" s="51" t="inlineStr">
        <is>
          <t>Python</t>
        </is>
      </c>
      <c r="G128" s="51" t="n">
        <v>1.5</v>
      </c>
      <c r="H128" s="78" t="inlineStr">
        <is>
          <t>À répartir</t>
        </is>
      </c>
      <c r="I128" s="78" t="inlineStr">
        <is>
          <t>À faire</t>
        </is>
      </c>
      <c r="J128" s="51" t="inlineStr">
        <is>
          <t>6 déc. 2026</t>
        </is>
      </c>
      <c r="K128" s="51" t="n"/>
      <c r="L128" s="51" t="n"/>
    </row>
    <row r="129" ht="15" customHeight="1" s="41">
      <c r="A129" s="51" t="inlineStr">
        <is>
          <t>T128</t>
        </is>
      </c>
      <c r="B129" s="51" t="inlineStr">
        <is>
          <t>US23</t>
        </is>
      </c>
      <c r="C129" s="51" t="inlineStr">
        <is>
          <t>E6 Modélisation prédictive</t>
        </is>
      </c>
      <c r="D129" s="51" t="inlineStr">
        <is>
          <t>Sprint 5</t>
        </is>
      </c>
      <c r="E129" s="51" t="inlineStr">
        <is>
          <t>Exporter les prévisions de ventes vers data/outputs/predictions</t>
        </is>
      </c>
      <c r="F129" s="51" t="inlineStr">
        <is>
          <t>Python (pandas)</t>
        </is>
      </c>
      <c r="G129" s="51" t="n">
        <v>0.5</v>
      </c>
      <c r="H129" s="78" t="inlineStr">
        <is>
          <t>À répartir</t>
        </is>
      </c>
      <c r="I129" s="78" t="inlineStr">
        <is>
          <t>À faire</t>
        </is>
      </c>
      <c r="J129" s="51" t="inlineStr">
        <is>
          <t>6 déc. 2026</t>
        </is>
      </c>
      <c r="K129" s="51" t="n"/>
      <c r="L129" s="51" t="inlineStr">
        <is>
          <t>Libellé modifié le 7 oct. 2026 : plus de risque de retour par vente (US28)</t>
        </is>
      </c>
    </row>
    <row r="130" ht="23.25" customHeight="1" s="41">
      <c r="A130" s="51" t="inlineStr">
        <is>
          <t>T129</t>
        </is>
      </c>
      <c r="B130" s="51" t="inlineStr">
        <is>
          <t>US29</t>
        </is>
      </c>
      <c r="C130" s="51" t="inlineStr">
        <is>
          <t>E6 Modélisation prédictive</t>
        </is>
      </c>
      <c r="D130" s="51" t="inlineStr">
        <is>
          <t>Sprint 5</t>
        </is>
      </c>
      <c r="E130" s="51" t="inlineStr">
        <is>
          <t>Construire la table d'apprentissage (catégorie × boutique × semaine : remise, volume, marge, retours)</t>
        </is>
      </c>
      <c r="F130" s="51" t="inlineStr">
        <is>
          <t>Python (pandas)</t>
        </is>
      </c>
      <c r="G130" s="51" t="n">
        <v>2</v>
      </c>
      <c r="H130" s="78" t="inlineStr">
        <is>
          <t>Barnabé</t>
        </is>
      </c>
      <c r="I130" s="78" t="inlineStr">
        <is>
          <t>Écartée</t>
        </is>
      </c>
      <c r="J130" s="51" t="inlineStr">
        <is>
          <t>6 déc. 2026</t>
        </is>
      </c>
      <c r="K130" s="51" t="n"/>
      <c r="L130" s="51" t="inlineStr">
        <is>
          <t>US29 abandonnée : promotions générales et calées sur le calendrier, aucun groupe témoin (07 et 09)</t>
        </is>
      </c>
    </row>
    <row r="131" ht="23.25" customHeight="1" s="41">
      <c r="A131" s="51" t="inlineStr">
        <is>
          <t>T130</t>
        </is>
      </c>
      <c r="B131" s="51" t="inlineStr">
        <is>
          <t>US29</t>
        </is>
      </c>
      <c r="C131" s="51" t="inlineStr">
        <is>
          <t>E6 Modélisation prédictive</t>
        </is>
      </c>
      <c r="D131" s="51" t="inlineStr">
        <is>
          <t>Sprint 5</t>
        </is>
      </c>
      <c r="E131" s="51" t="inlineStr">
        <is>
          <t>Modéliser le volume en fonction du taux de remise (régression log-log, gradient boosting)</t>
        </is>
      </c>
      <c r="F131" s="51" t="inlineStr">
        <is>
          <t>Python (statsmodels, scikit-learn)</t>
        </is>
      </c>
      <c r="G131" s="51" t="n">
        <v>3</v>
      </c>
      <c r="H131" s="78" t="inlineStr">
        <is>
          <t>Barnabé</t>
        </is>
      </c>
      <c r="I131" s="78" t="inlineStr">
        <is>
          <t>Écartée</t>
        </is>
      </c>
      <c r="J131" s="51" t="inlineStr">
        <is>
          <t>6 déc. 2026</t>
        </is>
      </c>
      <c r="K131" s="51" t="n"/>
      <c r="L131" s="51" t="inlineStr">
        <is>
          <t>US29 abandonnée : promotions générales et calées sur le calendrier, aucun groupe témoin (07 et 09)</t>
        </is>
      </c>
    </row>
    <row r="132" ht="23.25" customHeight="1" s="41">
      <c r="A132" s="51" t="inlineStr">
        <is>
          <t>T131</t>
        </is>
      </c>
      <c r="B132" s="51" t="inlineStr">
        <is>
          <t>US29</t>
        </is>
      </c>
      <c r="C132" s="51" t="inlineStr">
        <is>
          <t>E6 Modélisation prédictive</t>
        </is>
      </c>
      <c r="D132" s="51" t="inlineStr">
        <is>
          <t>Sprint 5</t>
        </is>
      </c>
      <c r="E132" s="51" t="inlineStr">
        <is>
          <t>Estimer l'uplift incrémental par type de promotion (groupe de contrôle hors promo comparable)</t>
        </is>
      </c>
      <c r="F132" s="51" t="inlineStr">
        <is>
          <t>Python (pandas)</t>
        </is>
      </c>
      <c r="G132" s="51" t="n">
        <v>2.5</v>
      </c>
      <c r="H132" s="78" t="inlineStr">
        <is>
          <t>Barnabé</t>
        </is>
      </c>
      <c r="I132" s="78" t="inlineStr">
        <is>
          <t>Écartée</t>
        </is>
      </c>
      <c r="J132" s="51" t="inlineStr">
        <is>
          <t>6 déc. 2026</t>
        </is>
      </c>
      <c r="K132" s="51" t="n"/>
      <c r="L132" s="51" t="inlineStr">
        <is>
          <t>US29 abandonnée : promotions générales et calées sur le calendrier, aucun groupe témoin (07 et 09)</t>
        </is>
      </c>
    </row>
    <row r="133" ht="15" customHeight="1" s="41">
      <c r="A133" s="51" t="inlineStr">
        <is>
          <t>T132</t>
        </is>
      </c>
      <c r="B133" s="51" t="inlineStr">
        <is>
          <t>US29</t>
        </is>
      </c>
      <c r="C133" s="51" t="inlineStr">
        <is>
          <t>E6 Modélisation prédictive</t>
        </is>
      </c>
      <c r="D133" s="51" t="inlineStr">
        <is>
          <t>Sprint 5</t>
        </is>
      </c>
      <c r="E133" s="51" t="inlineStr">
        <is>
          <t>Valider le modèle de réponse sur une période de test</t>
        </is>
      </c>
      <c r="F133" s="51" t="inlineStr">
        <is>
          <t>Python (scikit-learn)</t>
        </is>
      </c>
      <c r="G133" s="51" t="n">
        <v>1.5</v>
      </c>
      <c r="H133" s="78" t="inlineStr">
        <is>
          <t>Barnabé</t>
        </is>
      </c>
      <c r="I133" s="78" t="inlineStr">
        <is>
          <t>Écartée</t>
        </is>
      </c>
      <c r="J133" s="51" t="inlineStr">
        <is>
          <t>6 déc. 2026</t>
        </is>
      </c>
      <c r="K133" s="51" t="n"/>
      <c r="L133" s="51" t="inlineStr">
        <is>
          <t>US29 abandonnée : promotions générales et calées sur le calendrier, aucun groupe témoin (07 et 09)</t>
        </is>
      </c>
    </row>
    <row r="134" ht="15" customHeight="1" s="41">
      <c r="A134" s="51" t="inlineStr">
        <is>
          <t>T133</t>
        </is>
      </c>
      <c r="B134" s="51" t="inlineStr">
        <is>
          <t>US30</t>
        </is>
      </c>
      <c r="C134" s="51" t="inlineStr">
        <is>
          <t>E9 Analyse prescriptive</t>
        </is>
      </c>
      <c r="D134" s="51" t="inlineStr">
        <is>
          <t>Sprint 5</t>
        </is>
      </c>
      <c r="E134" s="51" t="inlineStr">
        <is>
          <t>Définir les scénarios (rythme de renouvellement du catalogue, niveau des charges, publicité des magasins, remises en magasin)</t>
        </is>
      </c>
      <c r="F134" s="51" t="inlineStr">
        <is>
          <t>Réunion</t>
        </is>
      </c>
      <c r="G134" s="51" t="n">
        <v>1</v>
      </c>
      <c r="H134" s="78" t="inlineStr">
        <is>
          <t>À répartir</t>
        </is>
      </c>
      <c r="I134" s="78" t="inlineStr">
        <is>
          <t>À faire</t>
        </is>
      </c>
      <c r="J134" s="51" t="inlineStr">
        <is>
          <t>6 déc. 2026</t>
        </is>
      </c>
      <c r="K134" s="51" t="n"/>
      <c r="L134" s="51" t="inlineStr">
        <is>
          <t>Libellé modifié le 7 oct. 2026 : scénarios de rentabilité au lieu de scénarios de promotion</t>
        </is>
      </c>
    </row>
    <row r="135" ht="23.25" customHeight="1" s="41">
      <c r="A135" s="51" t="inlineStr">
        <is>
          <t>T134</t>
        </is>
      </c>
      <c r="B135" s="51" t="inlineStr">
        <is>
          <t>US30</t>
        </is>
      </c>
      <c r="C135" s="51" t="inlineStr">
        <is>
          <t>E9 Analyse prescriptive</t>
        </is>
      </c>
      <c r="D135" s="51" t="inlineStr">
        <is>
          <t>Sprint 5</t>
        </is>
      </c>
      <c r="E135" s="51" t="inlineStr">
        <is>
          <t>Simuler chiffre d'affaires, charges et résultat d'exploitation 2022 pour chaque scénario à partir des modèles US23 et US40</t>
        </is>
      </c>
      <c r="F135" s="51" t="inlineStr">
        <is>
          <t>Python (pandas)</t>
        </is>
      </c>
      <c r="G135" s="51" t="n">
        <v>2.5</v>
      </c>
      <c r="H135" s="78" t="inlineStr">
        <is>
          <t>À répartir</t>
        </is>
      </c>
      <c r="I135" s="78" t="inlineStr">
        <is>
          <t>À faire</t>
        </is>
      </c>
      <c r="J135" s="51" t="inlineStr">
        <is>
          <t>6 déc. 2026</t>
        </is>
      </c>
      <c r="K135" s="51" t="n"/>
      <c r="L135" s="51" t="inlineStr">
        <is>
          <t>Libellé modifié le 7 oct. 2026 : notebook 13</t>
        </is>
      </c>
    </row>
    <row r="136" ht="23.25" customHeight="1" s="41">
      <c r="A136" s="51" t="inlineStr">
        <is>
          <t>T135</t>
        </is>
      </c>
      <c r="B136" s="51" t="inlineStr">
        <is>
          <t>US30</t>
        </is>
      </c>
      <c r="C136" s="51" t="inlineStr">
        <is>
          <t>E9 Analyse prescriptive</t>
        </is>
      </c>
      <c r="D136" s="51" t="inlineStr">
        <is>
          <t>Sprint 5</t>
        </is>
      </c>
      <c r="E136" s="51" t="inlineStr">
        <is>
          <t>Construire la grille de sensibilité quand la réaction des ventes est inconnue (publicité, remises en ligne) et comparer au scénario actuel</t>
        </is>
      </c>
      <c r="F136" s="51" t="inlineStr">
        <is>
          <t>Python (pandas)</t>
        </is>
      </c>
      <c r="G136" s="51" t="n">
        <v>1.5</v>
      </c>
      <c r="H136" s="78" t="inlineStr">
        <is>
          <t>À répartir</t>
        </is>
      </c>
      <c r="I136" s="78" t="inlineStr">
        <is>
          <t>À faire</t>
        </is>
      </c>
      <c r="J136" s="51" t="inlineStr">
        <is>
          <t>6 déc. 2026</t>
        </is>
      </c>
      <c r="K136" s="51" t="n"/>
      <c r="L136" s="51" t="inlineStr">
        <is>
          <t>Libellé modifié le 7 oct. 2026 : notebook 13</t>
        </is>
      </c>
    </row>
    <row r="137" ht="15" customHeight="1" s="41">
      <c r="A137" s="51" t="inlineStr">
        <is>
          <t>T136</t>
        </is>
      </c>
      <c r="B137" s="51" t="inlineStr">
        <is>
          <t>US30</t>
        </is>
      </c>
      <c r="C137" s="51" t="inlineStr">
        <is>
          <t>E9 Analyse prescriptive</t>
        </is>
      </c>
      <c r="D137" s="51" t="inlineStr">
        <is>
          <t>Sprint 5</t>
        </is>
      </c>
      <c r="E137" s="51" t="inlineStr">
        <is>
          <t>Exporter les résultats des scénarios vers data/outputs/scenarios</t>
        </is>
      </c>
      <c r="F137" s="51" t="inlineStr">
        <is>
          <t>Python (pandas)</t>
        </is>
      </c>
      <c r="G137" s="51" t="n">
        <v>0.5</v>
      </c>
      <c r="H137" s="78" t="inlineStr">
        <is>
          <t>À répartir</t>
        </is>
      </c>
      <c r="I137" s="78" t="inlineStr">
        <is>
          <t>À faire</t>
        </is>
      </c>
      <c r="J137" s="51" t="inlineStr">
        <is>
          <t>6 déc. 2026</t>
        </is>
      </c>
      <c r="K137" s="51" t="n"/>
      <c r="L137" s="51" t="n"/>
    </row>
    <row r="138" ht="15" customHeight="1" s="41">
      <c r="A138" s="51" t="inlineStr">
        <is>
          <t>T137</t>
        </is>
      </c>
      <c r="B138" s="51" t="inlineStr">
        <is>
          <t>US30</t>
        </is>
      </c>
      <c r="C138" s="51" t="inlineStr">
        <is>
          <t>E9 Analyse prescriptive</t>
        </is>
      </c>
      <c r="D138" s="51" t="inlineStr">
        <is>
          <t>Sprint 5</t>
        </is>
      </c>
      <c r="E138" s="51" t="inlineStr">
        <is>
          <t>Créer la page simulateur Power BI (paramètres what-if : renouvellement, charges, publicité, remises en magasin)</t>
        </is>
      </c>
      <c r="F138" s="51" t="inlineStr">
        <is>
          <t>Power BI (DAX)</t>
        </is>
      </c>
      <c r="G138" s="51" t="n">
        <v>2</v>
      </c>
      <c r="H138" s="78" t="inlineStr">
        <is>
          <t>Mouncif</t>
        </is>
      </c>
      <c r="I138" s="78" t="inlineStr">
        <is>
          <t>À faire</t>
        </is>
      </c>
      <c r="J138" s="51" t="inlineStr">
        <is>
          <t>6 déc. 2026</t>
        </is>
      </c>
      <c r="K138" s="51" t="n"/>
      <c r="L138" s="51" t="inlineStr">
        <is>
          <t>Libellé modifié le 7 oct. 2026 : les paramètres sont les leviers de rentabilité</t>
        </is>
      </c>
    </row>
    <row r="139" ht="23.25" customHeight="1" s="41">
      <c r="A139" s="51" t="inlineStr">
        <is>
          <t>T138</t>
        </is>
      </c>
      <c r="B139" s="51" t="inlineStr">
        <is>
          <t>US31</t>
        </is>
      </c>
      <c r="C139" s="51" t="inlineStr">
        <is>
          <t>E9 Analyse prescriptive</t>
        </is>
      </c>
      <c r="D139" s="51" t="inlineStr">
        <is>
          <t>Sprint 5</t>
        </is>
      </c>
      <c r="E139" s="51" t="inlineStr">
        <is>
          <t>Formuler le problème : répartir un nombre de lancements entre sous-catégories pour maximiser le chiffre d'affaires attendu, sous contraintes (nombre total, plafond par sous-catégorie)</t>
        </is>
      </c>
      <c r="F139" s="51" t="inlineStr">
        <is>
          <t>Réunion / Python</t>
        </is>
      </c>
      <c r="G139" s="51" t="n">
        <v>1.5</v>
      </c>
      <c r="H139" s="78" t="inlineStr">
        <is>
          <t>À répartir</t>
        </is>
      </c>
      <c r="I139" s="78" t="inlineStr">
        <is>
          <t>À faire</t>
        </is>
      </c>
      <c r="J139" s="51" t="inlineStr">
        <is>
          <t>6 déc. 2026</t>
        </is>
      </c>
      <c r="K139" s="51" t="n"/>
      <c r="L139" s="51" t="inlineStr">
        <is>
          <t>Libellé modifié le 7 oct. 2026 : l'optimisation porte sur le renouvellement du catalogue, plus sur le taux de remise</t>
        </is>
      </c>
    </row>
    <row r="140" ht="23.25" customHeight="1" s="41">
      <c r="A140" s="51" t="inlineStr">
        <is>
          <t>T139</t>
        </is>
      </c>
      <c r="B140" s="51" t="inlineStr">
        <is>
          <t>US31</t>
        </is>
      </c>
      <c r="C140" s="51" t="inlineStr">
        <is>
          <t>E9 Analyse prescriptive</t>
        </is>
      </c>
      <c r="D140" s="51" t="inlineStr">
        <is>
          <t>Sprint 5</t>
        </is>
      </c>
      <c r="E140" s="51" t="inlineStr">
        <is>
          <t>Résoudre l'optimisation en Python</t>
        </is>
      </c>
      <c r="F140" s="51" t="inlineStr">
        <is>
          <t>Python (scipy.optimize, PuLP)</t>
        </is>
      </c>
      <c r="G140" s="51" t="n">
        <v>3</v>
      </c>
      <c r="H140" s="78" t="inlineStr">
        <is>
          <t>À répartir</t>
        </is>
      </c>
      <c r="I140" s="78" t="inlineStr">
        <is>
          <t>À faire</t>
        </is>
      </c>
      <c r="J140" s="51" t="inlineStr">
        <is>
          <t>6 déc. 2026</t>
        </is>
      </c>
      <c r="K140" s="51" t="n"/>
      <c r="L140" s="51" t="n"/>
    </row>
    <row r="141" ht="15" customHeight="1" s="41">
      <c r="A141" s="51" t="inlineStr">
        <is>
          <t>T140</t>
        </is>
      </c>
      <c r="B141" s="51" t="inlineStr">
        <is>
          <t>US31</t>
        </is>
      </c>
      <c r="C141" s="51" t="inlineStr">
        <is>
          <t>E9 Analyse prescriptive</t>
        </is>
      </c>
      <c r="D141" s="51" t="inlineStr">
        <is>
          <t>Sprint 5</t>
        </is>
      </c>
      <c r="E141" s="51" t="inlineStr">
        <is>
          <t>Reproduire l'optimisation avec le Solveur Excel et le Gestionnaire de scénarios</t>
        </is>
      </c>
      <c r="F141" s="51" t="inlineStr">
        <is>
          <t>Excel (Solveur)</t>
        </is>
      </c>
      <c r="G141" s="51" t="n">
        <v>2</v>
      </c>
      <c r="H141" s="78" t="inlineStr">
        <is>
          <t>À répartir</t>
        </is>
      </c>
      <c r="I141" s="78" t="inlineStr">
        <is>
          <t>À faire</t>
        </is>
      </c>
      <c r="J141" s="51" t="inlineStr">
        <is>
          <t>6 déc. 2026</t>
        </is>
      </c>
      <c r="K141" s="51" t="n"/>
      <c r="L141" s="51" t="n"/>
    </row>
    <row r="142" ht="15" customHeight="1" s="41">
      <c r="A142" s="51" t="inlineStr">
        <is>
          <t>T141</t>
        </is>
      </c>
      <c r="B142" s="51" t="inlineStr">
        <is>
          <t>US31</t>
        </is>
      </c>
      <c r="C142" s="51" t="inlineStr">
        <is>
          <t>E9 Analyse prescriptive</t>
        </is>
      </c>
      <c r="D142" s="51" t="inlineStr">
        <is>
          <t>Sprint 5</t>
        </is>
      </c>
      <c r="E142" s="51" t="inlineStr">
        <is>
          <t>Comparer la répartition optimale à la répartition actuelle des nouveautés (gain de ventes attendu)</t>
        </is>
      </c>
      <c r="F142" s="51" t="inlineStr">
        <is>
          <t>Python (pandas)</t>
        </is>
      </c>
      <c r="G142" s="51" t="n">
        <v>1.5</v>
      </c>
      <c r="H142" s="78" t="inlineStr">
        <is>
          <t>À répartir</t>
        </is>
      </c>
      <c r="I142" s="78" t="inlineStr">
        <is>
          <t>À faire</t>
        </is>
      </c>
      <c r="J142" s="51" t="inlineStr">
        <is>
          <t>6 déc. 2026</t>
        </is>
      </c>
      <c r="K142" s="51" t="n"/>
      <c r="L142" s="51" t="inlineStr">
        <is>
          <t>Libellé modifié le 7 oct. 2026 : notebook 14</t>
        </is>
      </c>
    </row>
    <row r="143" ht="23.25" customHeight="1" s="41">
      <c r="A143" s="51" t="inlineStr">
        <is>
          <t>T142</t>
        </is>
      </c>
      <c r="B143" s="51" t="inlineStr">
        <is>
          <t>US31</t>
        </is>
      </c>
      <c r="C143" s="51" t="inlineStr">
        <is>
          <t>E9 Analyse prescriptive</t>
        </is>
      </c>
      <c r="D143" s="51" t="inlineStr">
        <is>
          <t>Sprint 5</t>
        </is>
      </c>
      <c r="E143" s="51" t="inlineStr">
        <is>
          <t>Écrire les tests automatiques de l'optimisation (nombre total de lancements, plafonds, résultats non négatifs)</t>
        </is>
      </c>
      <c r="F143" s="51" t="inlineStr">
        <is>
          <t>Python (pytest)</t>
        </is>
      </c>
      <c r="G143" s="51" t="n">
        <v>1.5</v>
      </c>
      <c r="H143" s="78" t="inlineStr">
        <is>
          <t>À répartir</t>
        </is>
      </c>
      <c r="I143" s="78" t="inlineStr">
        <is>
          <t>À faire</t>
        </is>
      </c>
      <c r="J143" s="51" t="inlineStr">
        <is>
          <t>6 déc. 2026</t>
        </is>
      </c>
      <c r="K143" s="51" t="n"/>
      <c r="L143" s="51" t="inlineStr">
        <is>
          <t>Libellé modifié le 7 oct. 2026 : notebook 14</t>
        </is>
      </c>
    </row>
    <row r="144" ht="15" customHeight="1" s="41">
      <c r="A144" s="51" t="inlineStr">
        <is>
          <t>T143</t>
        </is>
      </c>
      <c r="B144" s="51" t="inlineStr">
        <is>
          <t>US31</t>
        </is>
      </c>
      <c r="C144" s="51" t="inlineStr">
        <is>
          <t>E9 Analyse prescriptive</t>
        </is>
      </c>
      <c r="D144" s="51" t="inlineStr">
        <is>
          <t>Sprint 5</t>
        </is>
      </c>
      <c r="E144" s="51" t="inlineStr">
        <is>
          <t>Exporter les priorités de renouvellement vers data/outputs/optimisation</t>
        </is>
      </c>
      <c r="F144" s="51" t="inlineStr">
        <is>
          <t>Python (pandas)</t>
        </is>
      </c>
      <c r="G144" s="51" t="n">
        <v>0.5</v>
      </c>
      <c r="H144" s="78" t="inlineStr">
        <is>
          <t>À répartir</t>
        </is>
      </c>
      <c r="I144" s="78" t="inlineStr">
        <is>
          <t>À faire</t>
        </is>
      </c>
      <c r="J144" s="51" t="inlineStr">
        <is>
          <t>6 déc. 2026</t>
        </is>
      </c>
      <c r="K144" s="51" t="n"/>
      <c r="L144" s="51" t="inlineStr">
        <is>
          <t>Libellé modifié le 7 oct. 2026 : notebook 14</t>
        </is>
      </c>
    </row>
    <row r="145" ht="23.25" customHeight="1" s="41">
      <c r="A145" s="51" t="inlineStr">
        <is>
          <t>T144</t>
        </is>
      </c>
      <c r="B145" s="51" t="inlineStr">
        <is>
          <t>US24</t>
        </is>
      </c>
      <c r="C145" s="51" t="inlineStr">
        <is>
          <t>E7 Tableaux de bord</t>
        </is>
      </c>
      <c r="D145" s="51" t="inlineStr">
        <is>
          <t>Sprint 5</t>
        </is>
      </c>
      <c r="E145" s="51" t="inlineStr">
        <is>
          <t>Importer le modèle en flocon (data/clean) et les résultats des modèles (data/outputs), créer les relations</t>
        </is>
      </c>
      <c r="F145" s="51" t="inlineStr">
        <is>
          <t>Power BI</t>
        </is>
      </c>
      <c r="G145" s="51" t="n">
        <v>1.5</v>
      </c>
      <c r="H145" s="78" t="inlineStr">
        <is>
          <t>Mouncif</t>
        </is>
      </c>
      <c r="I145" s="78" t="inlineStr">
        <is>
          <t>À faire</t>
        </is>
      </c>
      <c r="J145" s="51" t="inlineStr">
        <is>
          <t>6 déc. 2026</t>
        </is>
      </c>
      <c r="K145" s="51" t="n"/>
      <c r="L145" s="51" t="n"/>
    </row>
    <row r="146" ht="23.25" customHeight="1" s="41">
      <c r="A146" s="51" t="inlineStr">
        <is>
          <t>T145</t>
        </is>
      </c>
      <c r="B146" s="51" t="inlineStr">
        <is>
          <t>US24</t>
        </is>
      </c>
      <c r="C146" s="51" t="inlineStr">
        <is>
          <t>E7 Tableaux de bord</t>
        </is>
      </c>
      <c r="D146" s="51" t="inlineStr">
        <is>
          <t>Sprint 5</t>
        </is>
      </c>
      <c r="E146" s="51" t="inlineStr">
        <is>
          <t>Créer les mesures DAX (CA, marge en valeur, taux de retour, taux de remise, variation annuelle)</t>
        </is>
      </c>
      <c r="F146" s="51" t="inlineStr">
        <is>
          <t>Power BI (DAX)</t>
        </is>
      </c>
      <c r="G146" s="51" t="n">
        <v>3</v>
      </c>
      <c r="H146" s="78" t="inlineStr">
        <is>
          <t>Mouncif</t>
        </is>
      </c>
      <c r="I146" s="78" t="inlineStr">
        <is>
          <t>À faire</t>
        </is>
      </c>
      <c r="J146" s="51" t="inlineStr">
        <is>
          <t>6 déc. 2026</t>
        </is>
      </c>
      <c r="K146" s="51" t="n"/>
      <c r="L146" s="51" t="n"/>
    </row>
    <row r="147" ht="15" customHeight="1" s="41">
      <c r="A147" s="51" t="inlineStr">
        <is>
          <t>T146</t>
        </is>
      </c>
      <c r="B147" s="51" t="inlineStr">
        <is>
          <t>US24</t>
        </is>
      </c>
      <c r="C147" s="51" t="inlineStr">
        <is>
          <t>E7 Tableaux de bord</t>
        </is>
      </c>
      <c r="D147" s="51" t="inlineStr">
        <is>
          <t>Sprint 5</t>
        </is>
      </c>
      <c r="E147" s="51" t="inlineStr">
        <is>
          <t>Page vue d'ensemble et page magasins et charges avec carte géographique</t>
        </is>
      </c>
      <c r="F147" s="51" t="inlineStr">
        <is>
          <t>Power BI</t>
        </is>
      </c>
      <c r="G147" s="51" t="n">
        <v>2.5</v>
      </c>
      <c r="H147" s="78" t="inlineStr">
        <is>
          <t>Mouncif</t>
        </is>
      </c>
      <c r="I147" s="78" t="inlineStr">
        <is>
          <t>À faire</t>
        </is>
      </c>
      <c r="J147" s="51" t="inlineStr">
        <is>
          <t>6 déc. 2026</t>
        </is>
      </c>
      <c r="K147" s="51" t="n"/>
      <c r="L147" s="51" t="inlineStr">
        <is>
          <t>Libellé modifié le 7 oct. 2026 : 4 pages au lieu de 5</t>
        </is>
      </c>
    </row>
    <row r="148" ht="15" customHeight="1" s="41">
      <c r="A148" s="51" t="inlineStr">
        <is>
          <t>T147</t>
        </is>
      </c>
      <c r="B148" s="51" t="inlineStr">
        <is>
          <t>US24</t>
        </is>
      </c>
      <c r="C148" s="51" t="inlineStr">
        <is>
          <t>E7 Tableaux de bord</t>
        </is>
      </c>
      <c r="D148" s="51" t="inlineStr">
        <is>
          <t>Sprint 5</t>
        </is>
      </c>
      <c r="E148" s="51" t="inlineStr">
        <is>
          <t>Page catalogue (âge des produits, usure du catalogue en place, renouvellement par sous-catégorie)</t>
        </is>
      </c>
      <c r="F148" s="51" t="inlineStr">
        <is>
          <t>Power BI</t>
        </is>
      </c>
      <c r="G148" s="51" t="n">
        <v>3</v>
      </c>
      <c r="H148" s="78" t="inlineStr">
        <is>
          <t>Mouncif</t>
        </is>
      </c>
      <c r="I148" s="78" t="inlineStr">
        <is>
          <t>À faire</t>
        </is>
      </c>
      <c r="J148" s="51" t="inlineStr">
        <is>
          <t>6 déc. 2026</t>
        </is>
      </c>
      <c r="K148" s="51" t="n"/>
      <c r="L148" s="51" t="inlineStr">
        <is>
          <t>Libellé modifié le 7 oct. 2026 : remplace les pages produits, promotions et retours</t>
        </is>
      </c>
    </row>
    <row r="149" ht="15" customHeight="1" s="41">
      <c r="A149" s="51" t="inlineStr">
        <is>
          <t>T148</t>
        </is>
      </c>
      <c r="B149" s="51" t="inlineStr">
        <is>
          <t>US24</t>
        </is>
      </c>
      <c r="C149" s="51" t="inlineStr">
        <is>
          <t>E7 Tableaux de bord</t>
        </is>
      </c>
      <c r="D149" s="51" t="inlineStr">
        <is>
          <t>Sprint 5</t>
        </is>
      </c>
      <c r="E149" s="51" t="inlineStr">
        <is>
          <t>Filtres, segments, exploration hiérarchique et info-bulles</t>
        </is>
      </c>
      <c r="F149" s="51" t="inlineStr">
        <is>
          <t>Power BI</t>
        </is>
      </c>
      <c r="G149" s="51" t="n">
        <v>1.5</v>
      </c>
      <c r="H149" s="78" t="inlineStr">
        <is>
          <t>Mouncif</t>
        </is>
      </c>
      <c r="I149" s="78" t="inlineStr">
        <is>
          <t>À faire</t>
        </is>
      </c>
      <c r="J149" s="51" t="inlineStr">
        <is>
          <t>6 déc. 2026</t>
        </is>
      </c>
      <c r="K149" s="51" t="n"/>
      <c r="L149" s="51" t="n"/>
    </row>
    <row r="150" ht="15" customHeight="1" s="41">
      <c r="A150" s="51" t="inlineStr">
        <is>
          <t>T149</t>
        </is>
      </c>
      <c r="B150" s="51" t="inlineStr">
        <is>
          <t>US24</t>
        </is>
      </c>
      <c r="C150" s="51" t="inlineStr">
        <is>
          <t>E7 Tableaux de bord</t>
        </is>
      </c>
      <c r="D150" s="51" t="inlineStr">
        <is>
          <t>Sprint 5</t>
        </is>
      </c>
      <c r="E150" s="51" t="inlineStr">
        <is>
          <t>Valider les mesures DAX contre les résultats Python</t>
        </is>
      </c>
      <c r="F150" s="51" t="inlineStr">
        <is>
          <t>Power BI / Python</t>
        </is>
      </c>
      <c r="G150" s="51" t="n">
        <v>1.5</v>
      </c>
      <c r="H150" s="78" t="inlineStr">
        <is>
          <t>Mouncif</t>
        </is>
      </c>
      <c r="I150" s="78" t="inlineStr">
        <is>
          <t>À faire</t>
        </is>
      </c>
      <c r="J150" s="51" t="inlineStr">
        <is>
          <t>6 déc. 2026</t>
        </is>
      </c>
      <c r="K150" s="51" t="n"/>
      <c r="L150" s="51" t="n"/>
    </row>
    <row r="151" ht="15" customHeight="1" s="41">
      <c r="A151" s="51" t="inlineStr">
        <is>
          <t>T150</t>
        </is>
      </c>
      <c r="B151" s="51" t="inlineStr">
        <is>
          <t>US25</t>
        </is>
      </c>
      <c r="C151" s="51" t="inlineStr">
        <is>
          <t>E8 Documentation et livrables</t>
        </is>
      </c>
      <c r="D151" s="51" t="inlineStr">
        <is>
          <t>Sprint 5</t>
        </is>
      </c>
      <c r="E151" s="51" t="inlineStr">
        <is>
          <t>Rédiger le rapport d'analyse (Q1 à Q5, leviers de rentabilité, modèles prédictifs, scénarios et priorités de renouvellement)</t>
        </is>
      </c>
      <c r="F151" s="51" t="inlineStr">
        <is>
          <t>Word</t>
        </is>
      </c>
      <c r="G151" s="51" t="n">
        <v>5</v>
      </c>
      <c r="H151" s="78" t="inlineStr">
        <is>
          <t>Yacine</t>
        </is>
      </c>
      <c r="I151" s="78" t="inlineStr">
        <is>
          <t>À faire</t>
        </is>
      </c>
      <c r="J151" s="51" t="inlineStr">
        <is>
          <t>6 déc. 2026</t>
        </is>
      </c>
      <c r="K151" s="51" t="n"/>
      <c r="L151" s="51" t="inlineStr">
        <is>
          <t>Libellé modifié le 7 oct. 2026 : contenu aligné sur les notebooks 06 à 14</t>
        </is>
      </c>
    </row>
    <row r="152" ht="15" customHeight="1" s="41">
      <c r="A152" s="51" t="inlineStr">
        <is>
          <t>T151</t>
        </is>
      </c>
      <c r="B152" s="51" t="inlineStr">
        <is>
          <t>US25</t>
        </is>
      </c>
      <c r="C152" s="51" t="inlineStr">
        <is>
          <t>E8 Documentation et livrables</t>
        </is>
      </c>
      <c r="D152" s="51" t="inlineStr">
        <is>
          <t>Sprint 5</t>
        </is>
      </c>
      <c r="E152" s="51" t="inlineStr">
        <is>
          <t>Sélectionner les visualisations clés</t>
        </is>
      </c>
      <c r="F152" s="51" t="inlineStr">
        <is>
          <t>Python / Power BI</t>
        </is>
      </c>
      <c r="G152" s="51" t="n">
        <v>1.5</v>
      </c>
      <c r="H152" s="78" t="inlineStr">
        <is>
          <t>Yacine</t>
        </is>
      </c>
      <c r="I152" s="78" t="inlineStr">
        <is>
          <t>À faire</t>
        </is>
      </c>
      <c r="J152" s="51" t="inlineStr">
        <is>
          <t>6 déc. 2026</t>
        </is>
      </c>
      <c r="K152" s="51" t="n"/>
      <c r="L152" s="51" t="n"/>
    </row>
    <row r="153" ht="15" customHeight="1" s="41">
      <c r="A153" s="51" t="inlineStr">
        <is>
          <t>T152</t>
        </is>
      </c>
      <c r="B153" s="51" t="inlineStr">
        <is>
          <t>US25</t>
        </is>
      </c>
      <c r="C153" s="51" t="inlineStr">
        <is>
          <t>E8 Documentation et livrables</t>
        </is>
      </c>
      <c r="D153" s="51" t="inlineStr">
        <is>
          <t>Sprint 5</t>
        </is>
      </c>
      <c r="E153" s="51" t="inlineStr">
        <is>
          <t>Préparer la présentation PowerPoint des conclusions et recommandations</t>
        </is>
      </c>
      <c r="F153" s="51" t="inlineStr">
        <is>
          <t>PowerPoint</t>
        </is>
      </c>
      <c r="G153" s="51" t="n">
        <v>4</v>
      </c>
      <c r="H153" s="78" t="inlineStr">
        <is>
          <t>Achraf</t>
        </is>
      </c>
      <c r="I153" s="78" t="inlineStr">
        <is>
          <t>À faire</t>
        </is>
      </c>
      <c r="J153" s="51" t="inlineStr">
        <is>
          <t>6 déc. 2026</t>
        </is>
      </c>
      <c r="K153" s="51" t="n"/>
      <c r="L153" s="51" t="n"/>
    </row>
    <row r="154" ht="15" customHeight="1" s="41">
      <c r="A154" s="51" t="inlineStr">
        <is>
          <t>T153</t>
        </is>
      </c>
      <c r="B154" s="51" t="inlineStr">
        <is>
          <t>US25</t>
        </is>
      </c>
      <c r="C154" s="51" t="inlineStr">
        <is>
          <t>E8 Documentation et livrables</t>
        </is>
      </c>
      <c r="D154" s="51" t="inlineStr">
        <is>
          <t>Sprint 5</t>
        </is>
      </c>
      <c r="E154" s="51" t="inlineStr">
        <is>
          <t>Préparer la démonstration des tableaux de bord</t>
        </is>
      </c>
      <c r="F154" s="51" t="inlineStr">
        <is>
          <t>Power BI / Streamlit / Excel</t>
        </is>
      </c>
      <c r="G154" s="51" t="n">
        <v>1</v>
      </c>
      <c r="H154" s="78" t="inlineStr">
        <is>
          <t>Achraf</t>
        </is>
      </c>
      <c r="I154" s="78" t="inlineStr">
        <is>
          <t>À faire</t>
        </is>
      </c>
      <c r="J154" s="51" t="inlineStr">
        <is>
          <t>6 déc. 2026</t>
        </is>
      </c>
      <c r="K154" s="51" t="n"/>
      <c r="L154" s="51" t="inlineStr">
        <is>
          <t>Outil complété le 7 oct. 2026 (application Streamlit, US42)</t>
        </is>
      </c>
    </row>
    <row r="155" ht="15" customHeight="1" s="41">
      <c r="A155" s="51" t="inlineStr">
        <is>
          <t>T154</t>
        </is>
      </c>
      <c r="B155" s="51" t="inlineStr">
        <is>
          <t>US25</t>
        </is>
      </c>
      <c r="C155" s="51" t="inlineStr">
        <is>
          <t>E8 Documentation et livrables</t>
        </is>
      </c>
      <c r="D155" s="51" t="inlineStr">
        <is>
          <t>Sprint 5</t>
        </is>
      </c>
      <c r="E155" s="51" t="inlineStr">
        <is>
          <t>Répétition chronométrée et répartition des prises de parole</t>
        </is>
      </c>
      <c r="F155" s="51" t="inlineStr">
        <is>
          <t>Réunion</t>
        </is>
      </c>
      <c r="G155" s="51" t="n">
        <v>2</v>
      </c>
      <c r="H155" s="78" t="inlineStr">
        <is>
          <t>Achraf</t>
        </is>
      </c>
      <c r="I155" s="78" t="inlineStr">
        <is>
          <t>À faire</t>
        </is>
      </c>
      <c r="J155" s="51" t="inlineStr">
        <is>
          <t>6 déc. 2026</t>
        </is>
      </c>
      <c r="K155" s="51" t="n"/>
      <c r="L155" s="51" t="n"/>
    </row>
    <row r="156" ht="15" customHeight="1" s="41">
      <c r="A156" s="51" t="inlineStr">
        <is>
          <t>T155</t>
        </is>
      </c>
      <c r="B156" s="51" t="inlineStr">
        <is>
          <t>US27</t>
        </is>
      </c>
      <c r="C156" s="51" t="inlineStr">
        <is>
          <t>E0 Gestion de projet Scrum</t>
        </is>
      </c>
      <c r="D156" s="51" t="inlineStr">
        <is>
          <t>Sprint 5</t>
        </is>
      </c>
      <c r="E156" s="51" t="inlineStr">
        <is>
          <t>Sprint 5 : planification, revue et rétrospective</t>
        </is>
      </c>
      <c r="F156" s="51" t="inlineStr">
        <is>
          <t>Réunion</t>
        </is>
      </c>
      <c r="G156" s="51" t="n">
        <v>2</v>
      </c>
      <c r="H156" s="78" t="inlineStr">
        <is>
          <t>Achraf</t>
        </is>
      </c>
      <c r="I156" s="78" t="inlineStr">
        <is>
          <t>À faire</t>
        </is>
      </c>
      <c r="J156" s="51" t="inlineStr">
        <is>
          <t>6 déc. 2026</t>
        </is>
      </c>
      <c r="K156" s="51" t="n"/>
      <c r="L156" s="51" t="n"/>
    </row>
    <row r="157" ht="15" customHeight="1" s="41">
      <c r="A157" s="54" t="inlineStr">
        <is>
          <t>T156</t>
        </is>
      </c>
      <c r="B157" s="54" t="inlineStr">
        <is>
          <t>US26</t>
        </is>
      </c>
      <c r="C157" s="54" t="inlineStr">
        <is>
          <t>E8 Documentation et livrables</t>
        </is>
      </c>
      <c r="D157" s="54" t="inlineStr">
        <is>
          <t>Sprint 6</t>
        </is>
      </c>
      <c r="E157" s="54" t="inlineStr">
        <is>
          <t>Intégrer la rétroaction reçue lors de la présentation</t>
        </is>
      </c>
      <c r="F157" s="54" t="inlineStr">
        <is>
          <t>Word</t>
        </is>
      </c>
      <c r="G157" s="54" t="n">
        <v>1.5</v>
      </c>
      <c r="H157" s="78" t="inlineStr">
        <is>
          <t>À répartir</t>
        </is>
      </c>
      <c r="I157" s="78" t="inlineStr">
        <is>
          <t>À faire</t>
        </is>
      </c>
      <c r="J157" s="54" t="inlineStr">
        <is>
          <t>13 déc. 2026</t>
        </is>
      </c>
      <c r="K157" s="54" t="n"/>
      <c r="L157" s="54" t="n"/>
    </row>
    <row r="158" ht="23.25" customHeight="1" s="41">
      <c r="A158" s="54" t="inlineStr">
        <is>
          <t>T157</t>
        </is>
      </c>
      <c r="B158" s="54" t="inlineStr">
        <is>
          <t>US32</t>
        </is>
      </c>
      <c r="C158" s="54" t="inlineStr">
        <is>
          <t>E9 Analyse prescriptive</t>
        </is>
      </c>
      <c r="D158" s="54" t="inlineStr">
        <is>
          <t>Sprint 6</t>
        </is>
      </c>
      <c r="E158" s="54" t="inlineStr">
        <is>
          <t>Analyse de sensibilité des scénarios (réaction des ventes de 0 à −10 %, rythme de renouvellement, niveau des charges)</t>
        </is>
      </c>
      <c r="F158" s="54" t="inlineStr">
        <is>
          <t>Python (pandas)</t>
        </is>
      </c>
      <c r="G158" s="54" t="n">
        <v>2</v>
      </c>
      <c r="H158" s="78" t="inlineStr">
        <is>
          <t>À répartir</t>
        </is>
      </c>
      <c r="I158" s="78" t="inlineStr">
        <is>
          <t>À faire</t>
        </is>
      </c>
      <c r="J158" s="54" t="inlineStr">
        <is>
          <t>13 déc. 2026</t>
        </is>
      </c>
      <c r="K158" s="54" t="n"/>
      <c r="L158" s="54" t="inlineStr">
        <is>
          <t>Libellé modifié le 7 oct. 2026 : notebook 13</t>
        </is>
      </c>
    </row>
    <row r="159" ht="23.25" customHeight="1" s="41">
      <c r="A159" s="54" t="inlineStr">
        <is>
          <t>T158</t>
        </is>
      </c>
      <c r="B159" s="54" t="inlineStr">
        <is>
          <t>US32</t>
        </is>
      </c>
      <c r="C159" s="54" t="inlineStr">
        <is>
          <t>E9 Analyse prescriptive</t>
        </is>
      </c>
      <c r="D159" s="54" t="inlineStr">
        <is>
          <t>Sprint 6</t>
        </is>
      </c>
      <c r="E159" s="54" t="inlineStr">
        <is>
          <t>Concevoir le plan d'essais : magasins tests et magasins témoins appariés, durée, indicateurs suivis (publicité, remises en ligne)</t>
        </is>
      </c>
      <c r="F159" s="54" t="inlineStr">
        <is>
          <t>Python / Excel</t>
        </is>
      </c>
      <c r="G159" s="54" t="n">
        <v>2</v>
      </c>
      <c r="H159" s="78" t="inlineStr">
        <is>
          <t>Barnabé</t>
        </is>
      </c>
      <c r="I159" s="78" t="inlineStr">
        <is>
          <t>À faire</t>
        </is>
      </c>
      <c r="J159" s="54" t="inlineStr">
        <is>
          <t>13 déc. 2026</t>
        </is>
      </c>
      <c r="K159" s="54" t="n"/>
      <c r="L159" s="54" t="inlineStr">
        <is>
          <t>Libellé modifié le 7 oct. 2026 : plan d'essais au lieu du calendrier promotionnel (notebook 15)</t>
        </is>
      </c>
    </row>
    <row r="160" ht="15" customHeight="1" s="41">
      <c r="A160" s="54" t="inlineStr">
        <is>
          <t>T159</t>
        </is>
      </c>
      <c r="B160" s="54" t="inlineStr">
        <is>
          <t>US32</t>
        </is>
      </c>
      <c r="C160" s="54" t="inlineStr">
        <is>
          <t>E9 Analyse prescriptive</t>
        </is>
      </c>
      <c r="D160" s="54" t="inlineStr">
        <is>
          <t>Sprint 6</t>
        </is>
      </c>
      <c r="E160" s="54" t="inlineStr">
        <is>
          <t>Calculer la puissance statistique : plus petite variation des ventes détectable selon le nombre de magasins et de semaines</t>
        </is>
      </c>
      <c r="F160" s="54" t="inlineStr">
        <is>
          <t>Python (statsmodels)</t>
        </is>
      </c>
      <c r="G160" s="54" t="n">
        <v>1.5</v>
      </c>
      <c r="H160" s="78" t="inlineStr">
        <is>
          <t>À répartir</t>
        </is>
      </c>
      <c r="I160" s="78" t="inlineStr">
        <is>
          <t>À faire</t>
        </is>
      </c>
      <c r="J160" s="54" t="inlineStr">
        <is>
          <t>13 déc. 2026</t>
        </is>
      </c>
      <c r="K160" s="54" t="n"/>
      <c r="L160" s="54" t="inlineStr">
        <is>
          <t>Libellé modifié le 7 oct. 2026 : notebook 15</t>
        </is>
      </c>
    </row>
    <row r="161" ht="15" customHeight="1" s="41">
      <c r="A161" s="54" t="inlineStr">
        <is>
          <t>T160</t>
        </is>
      </c>
      <c r="B161" s="54" t="inlineStr">
        <is>
          <t>US32</t>
        </is>
      </c>
      <c r="C161" s="54" t="inlineStr">
        <is>
          <t>E9 Analyse prescriptive</t>
        </is>
      </c>
      <c r="D161" s="54" t="inlineStr">
        <is>
          <t>Sprint 6</t>
        </is>
      </c>
      <c r="E161" s="54" t="inlineStr">
        <is>
          <t>Chiffrer les gains attendus et les risques de chaque essai</t>
        </is>
      </c>
      <c r="F161" s="54" t="inlineStr">
        <is>
          <t>Excel</t>
        </is>
      </c>
      <c r="G161" s="54" t="n">
        <v>1.5</v>
      </c>
      <c r="H161" s="78" t="inlineStr">
        <is>
          <t>Mouncif</t>
        </is>
      </c>
      <c r="I161" s="78" t="inlineStr">
        <is>
          <t>À faire</t>
        </is>
      </c>
      <c r="J161" s="54" t="inlineStr">
        <is>
          <t>13 déc. 2026</t>
        </is>
      </c>
      <c r="K161" s="54" t="n"/>
      <c r="L161" s="54" t="inlineStr">
        <is>
          <t>Libellé modifié le 7 oct. 2026 : notebook 15</t>
        </is>
      </c>
    </row>
    <row r="162" ht="15" customHeight="1" s="41">
      <c r="A162" s="54" t="inlineStr">
        <is>
          <t>T161</t>
        </is>
      </c>
      <c r="B162" s="54" t="inlineStr">
        <is>
          <t>US26</t>
        </is>
      </c>
      <c r="C162" s="54" t="inlineStr">
        <is>
          <t>E8 Documentation et livrables</t>
        </is>
      </c>
      <c r="D162" s="54" t="inlineStr">
        <is>
          <t>Sprint 6</t>
        </is>
      </c>
      <c r="E162" s="54" t="inlineStr">
        <is>
          <t>Formuler les recommandations opérationnelles et les prioriser (impact, faisabilité)</t>
        </is>
      </c>
      <c r="F162" s="54" t="inlineStr">
        <is>
          <t>Réunion / Word</t>
        </is>
      </c>
      <c r="G162" s="54" t="n">
        <v>3</v>
      </c>
      <c r="H162" s="78" t="inlineStr">
        <is>
          <t>Yacine</t>
        </is>
      </c>
      <c r="I162" s="78" t="inlineStr">
        <is>
          <t>À faire</t>
        </is>
      </c>
      <c r="J162" s="54" t="inlineStr">
        <is>
          <t>13 déc. 2026</t>
        </is>
      </c>
      <c r="K162" s="54" t="n"/>
      <c r="L162" s="54" t="n"/>
    </row>
    <row r="163" ht="15" customHeight="1" s="41">
      <c r="A163" s="54" t="inlineStr">
        <is>
          <t>T162</t>
        </is>
      </c>
      <c r="B163" s="54" t="inlineStr">
        <is>
          <t>US26</t>
        </is>
      </c>
      <c r="C163" s="54" t="inlineStr">
        <is>
          <t>E8 Documentation et livrables</t>
        </is>
      </c>
      <c r="D163" s="54" t="inlineStr">
        <is>
          <t>Sprint 6</t>
        </is>
      </c>
      <c r="E163" s="54" t="inlineStr">
        <is>
          <t>Rédiger les limites et les pistes d'amélioration (données à collecter)</t>
        </is>
      </c>
      <c r="F163" s="54" t="inlineStr">
        <is>
          <t>Word</t>
        </is>
      </c>
      <c r="G163" s="54" t="n">
        <v>1.5</v>
      </c>
      <c r="H163" s="78" t="inlineStr">
        <is>
          <t>Barnabé</t>
        </is>
      </c>
      <c r="I163" s="78" t="inlineStr">
        <is>
          <t>À faire</t>
        </is>
      </c>
      <c r="J163" s="54" t="inlineStr">
        <is>
          <t>13 déc. 2026</t>
        </is>
      </c>
      <c r="K163" s="54" t="n"/>
      <c r="L163" s="54" t="n"/>
    </row>
    <row r="164" ht="15" customHeight="1" s="41">
      <c r="A164" s="54" t="inlineStr">
        <is>
          <t>T163</t>
        </is>
      </c>
      <c r="B164" s="54" t="inlineStr">
        <is>
          <t>US26</t>
        </is>
      </c>
      <c r="C164" s="54" t="inlineStr">
        <is>
          <t>E8 Documentation et livrables</t>
        </is>
      </c>
      <c r="D164" s="54" t="inlineStr">
        <is>
          <t>Sprint 6</t>
        </is>
      </c>
      <c r="E164" s="54" t="inlineStr">
        <is>
          <t>Compiler les annexes (dictionnaire, code, captures des tableaux de bord)</t>
        </is>
      </c>
      <c r="F164" s="54" t="inlineStr">
        <is>
          <t>Word / GitHub</t>
        </is>
      </c>
      <c r="G164" s="54" t="n">
        <v>2</v>
      </c>
      <c r="H164" s="78" t="inlineStr">
        <is>
          <t>À répartir</t>
        </is>
      </c>
      <c r="I164" s="78" t="inlineStr">
        <is>
          <t>À faire</t>
        </is>
      </c>
      <c r="J164" s="54" t="inlineStr">
        <is>
          <t>13 déc. 2026</t>
        </is>
      </c>
      <c r="K164" s="54" t="n"/>
      <c r="L164" s="54" t="n"/>
    </row>
    <row r="165" ht="15" customHeight="1" s="41">
      <c r="A165" s="54" t="inlineStr">
        <is>
          <t>T164</t>
        </is>
      </c>
      <c r="B165" s="54" t="inlineStr">
        <is>
          <t>US26</t>
        </is>
      </c>
      <c r="C165" s="54" t="inlineStr">
        <is>
          <t>E8 Documentation et livrables</t>
        </is>
      </c>
      <c r="D165" s="54" t="inlineStr">
        <is>
          <t>Sprint 6</t>
        </is>
      </c>
      <c r="E165" s="54" t="inlineStr">
        <is>
          <t>Exécuter run_pipeline.py de bout en bout et archiver les notebooks exécutés</t>
        </is>
      </c>
      <c r="F165" s="54" t="inlineStr">
        <is>
          <t>Python (papermill)</t>
        </is>
      </c>
      <c r="G165" s="54" t="n">
        <v>1</v>
      </c>
      <c r="H165" s="78" t="inlineStr">
        <is>
          <t>Mouncif</t>
        </is>
      </c>
      <c r="I165" s="78" t="inlineStr">
        <is>
          <t>À faire</t>
        </is>
      </c>
      <c r="J165" s="54" t="inlineStr">
        <is>
          <t>13 déc. 2026</t>
        </is>
      </c>
      <c r="K165" s="54" t="n"/>
      <c r="L165" s="54" t="n"/>
    </row>
    <row r="166" ht="15" customHeight="1" s="41">
      <c r="A166" s="54" t="inlineStr">
        <is>
          <t>T165</t>
        </is>
      </c>
      <c r="B166" s="54" t="inlineStr">
        <is>
          <t>US26</t>
        </is>
      </c>
      <c r="C166" s="54" t="inlineStr">
        <is>
          <t>E8 Documentation et livrables</t>
        </is>
      </c>
      <c r="D166" s="54" t="inlineStr">
        <is>
          <t>Sprint 6</t>
        </is>
      </c>
      <c r="E166" s="54" t="inlineStr">
        <is>
          <t>Relecture finale, mise en page et remise (14 déc.)</t>
        </is>
      </c>
      <c r="F166" s="54" t="inlineStr">
        <is>
          <t>Word</t>
        </is>
      </c>
      <c r="G166" s="54" t="n">
        <v>2</v>
      </c>
      <c r="H166" s="78" t="inlineStr">
        <is>
          <t>Mouncif</t>
        </is>
      </c>
      <c r="I166" s="78" t="inlineStr">
        <is>
          <t>À faire</t>
        </is>
      </c>
      <c r="J166" s="54" t="inlineStr">
        <is>
          <t>13 déc. 2026</t>
        </is>
      </c>
      <c r="K166" s="54" t="n"/>
      <c r="L166" s="54" t="n"/>
    </row>
    <row r="167" ht="15" customHeight="1" s="41">
      <c r="A167" s="54" t="inlineStr">
        <is>
          <t>T166</t>
        </is>
      </c>
      <c r="B167" s="54" t="inlineStr">
        <is>
          <t>US27</t>
        </is>
      </c>
      <c r="C167" s="54" t="inlineStr">
        <is>
          <t>E0 Gestion de projet Scrum</t>
        </is>
      </c>
      <c r="D167" s="54" t="inlineStr">
        <is>
          <t>Sprint 6</t>
        </is>
      </c>
      <c r="E167" s="54" t="inlineStr">
        <is>
          <t>Sprint 6 : revue finale et rétrospective du projet</t>
        </is>
      </c>
      <c r="F167" s="54" t="inlineStr">
        <is>
          <t>Réunion</t>
        </is>
      </c>
      <c r="G167" s="54" t="n">
        <v>1.5</v>
      </c>
      <c r="H167" s="78" t="inlineStr">
        <is>
          <t>Achraf</t>
        </is>
      </c>
      <c r="I167" s="78" t="inlineStr">
        <is>
          <t>À faire</t>
        </is>
      </c>
      <c r="J167" s="54" t="inlineStr">
        <is>
          <t>13 déc. 2026</t>
        </is>
      </c>
      <c r="K167" s="54" t="n"/>
      <c r="L167" s="54" t="n"/>
    </row>
    <row r="168" ht="15" customHeight="1" s="41">
      <c r="A168" s="54" t="inlineStr">
        <is>
          <t>T167</t>
        </is>
      </c>
      <c r="B168" s="54" t="inlineStr">
        <is>
          <t>US34</t>
        </is>
      </c>
      <c r="C168" s="54" t="inlineStr">
        <is>
          <t>E2 Intégration et modélisation (ETL)</t>
        </is>
      </c>
      <c r="D168" s="54" t="inlineStr">
        <is>
          <t>Sprint 1</t>
        </is>
      </c>
      <c r="E168" s="54" t="inlineStr">
        <is>
          <t>Explorer la base Contoso : plan stratégique (FactStrategyPlan), table transactionnelle (FactOnlineSales), liste de toutes les tables</t>
        </is>
      </c>
      <c r="F168" s="54" t="inlineStr">
        <is>
          <t>Python / SQL Server</t>
        </is>
      </c>
      <c r="G168" s="54" t="n">
        <v>3</v>
      </c>
      <c r="H168" s="78" t="inlineStr">
        <is>
          <t>Yacine</t>
        </is>
      </c>
      <c r="I168" s="78" t="inlineStr">
        <is>
          <t>Terminé</t>
        </is>
      </c>
      <c r="J168" s="54" t="inlineStr">
        <is>
          <t>6 oct. 2026</t>
        </is>
      </c>
      <c r="K168" s="54" t="n"/>
      <c r="L168" s="54" t="n"/>
    </row>
    <row r="169" ht="15" customHeight="1" s="41">
      <c r="A169" s="54" t="inlineStr">
        <is>
          <t>T168</t>
        </is>
      </c>
      <c r="B169" s="54" t="inlineStr">
        <is>
          <t>US34</t>
        </is>
      </c>
      <c r="C169" s="54" t="inlineStr">
        <is>
          <t>E2 Intégration et modélisation (ETL)</t>
        </is>
      </c>
      <c r="D169" s="54" t="inlineStr">
        <is>
          <t>Sprint 1</t>
        </is>
      </c>
      <c r="E169" s="54" t="inlineStr">
        <is>
          <t>Établir le périmètre réel des fichiers fournis (5 catégories sur 8, trimestres 1 à 3) et le rapprochement avec le plan stratégique</t>
        </is>
      </c>
      <c r="F169" s="54" t="inlineStr">
        <is>
          <t>Python</t>
        </is>
      </c>
      <c r="G169" s="54" t="n">
        <v>2</v>
      </c>
      <c r="H169" s="78" t="inlineStr">
        <is>
          <t>Yacine</t>
        </is>
      </c>
      <c r="I169" s="78" t="inlineStr">
        <is>
          <t>Terminé</t>
        </is>
      </c>
      <c r="J169" s="54" t="inlineStr">
        <is>
          <t>6 oct. 2026</t>
        </is>
      </c>
      <c r="K169" s="54" t="n"/>
      <c r="L169" s="54" t="n"/>
    </row>
    <row r="170" ht="15" customHeight="1" s="41">
      <c r="A170" s="54" t="inlineStr">
        <is>
          <t>T169</t>
        </is>
      </c>
      <c r="B170" s="54" t="inlineStr">
        <is>
          <t>US34</t>
        </is>
      </c>
      <c r="C170" s="54" t="inlineStr">
        <is>
          <t>E2 Intégration et modélisation (ETL)</t>
        </is>
      </c>
      <c r="D170" s="54" t="inlineStr">
        <is>
          <t>Sprint 1</t>
        </is>
      </c>
      <c r="E170" s="54" t="inlineStr">
        <is>
          <t>Extraire les ventes complètes des 56 boutiques au format des fichiers fournis (Connexion.py, dossier Sales_complet)</t>
        </is>
      </c>
      <c r="F170" s="54" t="inlineStr">
        <is>
          <t>Python / SQL Server</t>
        </is>
      </c>
      <c r="G170" s="54" t="n">
        <v>2</v>
      </c>
      <c r="H170" s="78" t="inlineStr">
        <is>
          <t>Yacine</t>
        </is>
      </c>
      <c r="I170" s="78" t="inlineStr">
        <is>
          <t>Terminé</t>
        </is>
      </c>
      <c r="J170" s="54" t="inlineStr">
        <is>
          <t>6 oct. 2026</t>
        </is>
      </c>
      <c r="K170" s="54" t="n"/>
      <c r="L170" s="54" t="n"/>
    </row>
    <row r="171" ht="15" customHeight="1" s="41">
      <c r="A171" s="54" t="inlineStr">
        <is>
          <t>T170</t>
        </is>
      </c>
      <c r="B171" s="54" t="inlineStr">
        <is>
          <t>US34</t>
        </is>
      </c>
      <c r="C171" s="54" t="inlineStr">
        <is>
          <t>E2 Intégration et modélisation (ETL)</t>
        </is>
      </c>
      <c r="D171" s="54" t="inlineStr">
        <is>
          <t>Sprint 1</t>
        </is>
      </c>
      <c r="E171" s="54" t="inlineStr">
        <is>
          <t>Ajouter le choix de la source dans config.py (SOURCE_VENTES) et adapter etl.py</t>
        </is>
      </c>
      <c r="F171" s="54" t="inlineStr">
        <is>
          <t>Python</t>
        </is>
      </c>
      <c r="G171" s="54" t="n">
        <v>1</v>
      </c>
      <c r="H171" s="78" t="inlineStr">
        <is>
          <t>Yacine</t>
        </is>
      </c>
      <c r="I171" s="78" t="inlineStr">
        <is>
          <t>Terminé</t>
        </is>
      </c>
      <c r="J171" s="54" t="inlineStr">
        <is>
          <t>6 oct. 2026</t>
        </is>
      </c>
      <c r="K171" s="54" t="n"/>
      <c r="L171" s="54" t="n"/>
    </row>
    <row r="172" ht="15" customHeight="1" s="41">
      <c r="A172" s="54" t="inlineStr">
        <is>
          <t>T171</t>
        </is>
      </c>
      <c r="B172" s="54" t="inlineStr">
        <is>
          <t>US34</t>
        </is>
      </c>
      <c r="C172" s="54" t="inlineStr">
        <is>
          <t>E2 Intégration et modélisation (ETL)</t>
        </is>
      </c>
      <c r="D172" s="54" t="inlineStr">
        <is>
          <t>Sprint 1</t>
        </is>
      </c>
      <c r="E172" s="54" t="inlineStr">
        <is>
          <t>Relancer les notebooks 00 à 05 sur les ventes complètes et mettre à jour les constats du diagnostic</t>
        </is>
      </c>
      <c r="F172" s="54" t="inlineStr">
        <is>
          <t>Jupyter</t>
        </is>
      </c>
      <c r="G172" s="54" t="n">
        <v>3</v>
      </c>
      <c r="H172" s="78" t="inlineStr">
        <is>
          <t>Yacine</t>
        </is>
      </c>
      <c r="I172" s="78" t="inlineStr">
        <is>
          <t>Terminé</t>
        </is>
      </c>
      <c r="J172" s="54" t="inlineStr">
        <is>
          <t>6 oct. 2026</t>
        </is>
      </c>
      <c r="K172" s="54" t="n"/>
      <c r="L172" s="54" t="n"/>
    </row>
    <row r="173" ht="15" customHeight="1" s="41">
      <c r="A173" s="54" t="inlineStr">
        <is>
          <t>T172</t>
        </is>
      </c>
      <c r="B173" s="54" t="inlineStr">
        <is>
          <t>US34</t>
        </is>
      </c>
      <c r="C173" s="54" t="inlineStr">
        <is>
          <t>E2 Intégration et modélisation (ETL)</t>
        </is>
      </c>
      <c r="D173" s="54" t="inlineStr">
        <is>
          <t>Sprint 1</t>
        </is>
      </c>
      <c r="E173" s="54" t="inlineStr">
        <is>
          <t>Documenter et justifier le changement de périmètre (00_inventaire, section 9)</t>
        </is>
      </c>
      <c r="F173" s="54" t="inlineStr">
        <is>
          <t>Jupyter</t>
        </is>
      </c>
      <c r="G173" s="54" t="n">
        <v>1.5</v>
      </c>
      <c r="H173" s="78" t="inlineStr">
        <is>
          <t>Yacine</t>
        </is>
      </c>
      <c r="I173" s="78" t="inlineStr">
        <is>
          <t>Terminé</t>
        </is>
      </c>
      <c r="J173" s="54" t="inlineStr">
        <is>
          <t>6 oct. 2026</t>
        </is>
      </c>
      <c r="K173" s="54" t="n"/>
      <c r="L173" s="54" t="n"/>
    </row>
    <row r="174" ht="15" customHeight="1" s="41">
      <c r="A174" s="54" t="inlineStr">
        <is>
          <t>T173</t>
        </is>
      </c>
      <c r="B174" s="54" t="inlineStr">
        <is>
          <t>US34</t>
        </is>
      </c>
      <c r="C174" s="54" t="inlineStr">
        <is>
          <t>E2 Intégration et modélisation (ETL)</t>
        </is>
      </c>
      <c r="D174" s="54" t="inlineStr">
        <is>
          <t>Sprint 1</t>
        </is>
      </c>
      <c r="E174" s="54" t="inlineStr">
        <is>
          <t>Analyser les remises supérieures à la vente (règle R5) et appliquer la règle N6 dans 04_nettoyage</t>
        </is>
      </c>
      <c r="F174" s="54" t="inlineStr">
        <is>
          <t>Jupyter</t>
        </is>
      </c>
      <c r="G174" s="54" t="n">
        <v>2.5</v>
      </c>
      <c r="H174" s="78" t="inlineStr">
        <is>
          <t>Yacine</t>
        </is>
      </c>
      <c r="I174" s="78" t="inlineStr">
        <is>
          <t>Terminé</t>
        </is>
      </c>
      <c r="J174" s="54" t="inlineStr">
        <is>
          <t>6 oct. 2026</t>
        </is>
      </c>
      <c r="K174" s="54" t="n"/>
      <c r="L174" s="54" t="n"/>
    </row>
    <row r="175" ht="15" customHeight="1" s="41">
      <c r="A175" s="54" t="inlineStr">
        <is>
          <t>T174</t>
        </is>
      </c>
      <c r="B175" s="54" t="inlineStr">
        <is>
          <t>US34</t>
        </is>
      </c>
      <c r="C175" s="54" t="inlineStr">
        <is>
          <t>E2 Intégration et modélisation (ETL)</t>
        </is>
      </c>
      <c r="D175" s="54" t="inlineStr">
        <is>
          <t>Sprint 1</t>
        </is>
      </c>
      <c r="E175" s="54" t="inlineStr">
        <is>
          <t>Reporter les nouvelles user stories et leurs tâches dans Jira</t>
        </is>
      </c>
      <c r="F175" s="54" t="inlineStr">
        <is>
          <t>Jira</t>
        </is>
      </c>
      <c r="G175" s="54" t="n">
        <v>1</v>
      </c>
      <c r="H175" s="78" t="inlineStr">
        <is>
          <t>À répartir</t>
        </is>
      </c>
      <c r="I175" s="78" t="inlineStr">
        <is>
          <t>À faire</t>
        </is>
      </c>
      <c r="J175" s="54" t="inlineStr">
        <is>
          <t>18 oct. 2026</t>
        </is>
      </c>
      <c r="K175" s="54" t="n"/>
      <c r="L175" s="54" t="n"/>
    </row>
    <row r="176" ht="15" customHeight="1" s="41">
      <c r="A176" s="54" t="inlineStr">
        <is>
          <t>T175</t>
        </is>
      </c>
      <c r="B176" s="54" t="inlineStr">
        <is>
          <t>US35</t>
        </is>
      </c>
      <c r="C176" s="54" t="inlineStr">
        <is>
          <t>E5 Analyse exploratoire (Q1 à Q5)</t>
        </is>
      </c>
      <c r="D176" s="54" t="inlineStr">
        <is>
          <t>Sprint 4</t>
        </is>
      </c>
      <c r="E176" s="54" t="inlineStr">
        <is>
          <t>Extraire FactStrategyPlan, DimAccount, DimEntity et DimScenario pour nos boutiques (Connexion.py)</t>
        </is>
      </c>
      <c r="F176" s="54" t="inlineStr">
        <is>
          <t>Python / SQL Server</t>
        </is>
      </c>
      <c r="G176" s="54" t="n">
        <v>1.5</v>
      </c>
      <c r="H176" s="78" t="inlineStr">
        <is>
          <t>Yacine</t>
        </is>
      </c>
      <c r="I176" s="78" t="inlineStr">
        <is>
          <t>Terminé</t>
        </is>
      </c>
      <c r="J176" s="54" t="inlineStr">
        <is>
          <t>22 nov. 2026</t>
        </is>
      </c>
      <c r="K176" s="54" t="inlineStr">
        <is>
          <t>6 oct. 2026</t>
        </is>
      </c>
      <c r="L176" s="54" t="inlineStr">
        <is>
          <t>Notebook 05b_charges et notebook 06 (section 7)</t>
        </is>
      </c>
    </row>
    <row r="177" ht="15" customHeight="1" s="41">
      <c r="A177" s="54" t="inlineStr">
        <is>
          <t>T176</t>
        </is>
      </c>
      <c r="B177" s="54" t="inlineStr">
        <is>
          <t>US35</t>
        </is>
      </c>
      <c r="C177" s="54" t="inlineStr">
        <is>
          <t>E5 Analyse exploratoire (Q1 à Q5)</t>
        </is>
      </c>
      <c r="D177" s="54" t="inlineStr">
        <is>
          <t>Sprint 4</t>
        </is>
      </c>
      <c r="E177" s="54" t="inlineStr">
        <is>
          <t>Joindre les charges aux ventes par boutique et par mois (DimStore.EntityKey) et contrôler le rapprochement</t>
        </is>
      </c>
      <c r="F177" s="54" t="inlineStr">
        <is>
          <t>Jupyter</t>
        </is>
      </c>
      <c r="G177" s="54" t="n">
        <v>2</v>
      </c>
      <c r="H177" s="78" t="inlineStr">
        <is>
          <t>Yacine</t>
        </is>
      </c>
      <c r="I177" s="78" t="inlineStr">
        <is>
          <t>Terminé</t>
        </is>
      </c>
      <c r="J177" s="54" t="inlineStr">
        <is>
          <t>22 nov. 2026</t>
        </is>
      </c>
      <c r="K177" s="54" t="inlineStr">
        <is>
          <t>6 oct. 2026</t>
        </is>
      </c>
      <c r="L177" s="54" t="inlineStr">
        <is>
          <t>Notebook 05b_charges et notebook 06 (section 7)</t>
        </is>
      </c>
    </row>
    <row r="178" ht="15" customHeight="1" s="41">
      <c r="A178" s="54" t="inlineStr">
        <is>
          <t>T177</t>
        </is>
      </c>
      <c r="B178" s="54" t="inlineStr">
        <is>
          <t>US35</t>
        </is>
      </c>
      <c r="C178" s="54" t="inlineStr">
        <is>
          <t>E5 Analyse exploratoire (Q1 à Q5)</t>
        </is>
      </c>
      <c r="D178" s="54" t="inlineStr">
        <is>
          <t>Sprint 4</t>
        </is>
      </c>
      <c r="E178" s="54" t="inlineStr">
        <is>
          <t>Calculer la rentabilité nette par boutique et par mois (marge nette moins charges d'exploitation)</t>
        </is>
      </c>
      <c r="F178" s="54" t="inlineStr">
        <is>
          <t>Jupyter</t>
        </is>
      </c>
      <c r="G178" s="54" t="n">
        <v>2</v>
      </c>
      <c r="H178" s="78" t="inlineStr">
        <is>
          <t>Yacine</t>
        </is>
      </c>
      <c r="I178" s="78" t="inlineStr">
        <is>
          <t>Terminé</t>
        </is>
      </c>
      <c r="J178" s="54" t="inlineStr">
        <is>
          <t>22 nov. 2026</t>
        </is>
      </c>
      <c r="K178" s="54" t="inlineStr">
        <is>
          <t>6 oct. 2026</t>
        </is>
      </c>
      <c r="L178" s="54" t="inlineStr">
        <is>
          <t>Notebook 05b_charges et notebook 06 (section 7)</t>
        </is>
      </c>
    </row>
    <row r="179" ht="15" customHeight="1" s="41">
      <c r="A179" s="54" t="inlineStr">
        <is>
          <t>T178</t>
        </is>
      </c>
      <c r="B179" s="54" t="inlineStr">
        <is>
          <t>US35</t>
        </is>
      </c>
      <c r="C179" s="54" t="inlineStr">
        <is>
          <t>E5 Analyse exploratoire (Q1 à Q5)</t>
        </is>
      </c>
      <c r="D179" s="54" t="inlineStr">
        <is>
          <t>Sprint 4</t>
        </is>
      </c>
      <c r="E179" s="54" t="inlineStr">
        <is>
          <t>Comparer le réel au budget et à la prévision par boutique</t>
        </is>
      </c>
      <c r="F179" s="54" t="inlineStr">
        <is>
          <t>Jupyter</t>
        </is>
      </c>
      <c r="G179" s="54" t="n">
        <v>1.5</v>
      </c>
      <c r="H179" s="78" t="inlineStr">
        <is>
          <t>À répartir</t>
        </is>
      </c>
      <c r="I179" s="78" t="inlineStr">
        <is>
          <t>À faire</t>
        </is>
      </c>
      <c r="J179" s="54" t="inlineStr">
        <is>
          <t>22 nov. 2026</t>
        </is>
      </c>
      <c r="K179" s="54" t="n"/>
      <c r="L179" s="54" t="inlineStr">
        <is>
          <t>Colonnes de budget disponibles dans l'agrégat ; comparaison au réel non analysée</t>
        </is>
      </c>
    </row>
    <row r="180" ht="15" customHeight="1" s="41">
      <c r="A180" s="54" t="inlineStr">
        <is>
          <t>T179</t>
        </is>
      </c>
      <c r="B180" s="54" t="inlineStr">
        <is>
          <t>US35</t>
        </is>
      </c>
      <c r="C180" s="54" t="inlineStr">
        <is>
          <t>E5 Analyse exploratoire (Q1 à Q5)</t>
        </is>
      </c>
      <c r="D180" s="54" t="inlineStr">
        <is>
          <t>Sprint 4</t>
        </is>
      </c>
      <c r="E180" s="54" t="inlineStr">
        <is>
          <t>Rédiger la synthèse sur la rentabilité nette des boutiques</t>
        </is>
      </c>
      <c r="F180" s="54" t="inlineStr">
        <is>
          <t>Word</t>
        </is>
      </c>
      <c r="G180" s="54" t="n">
        <v>1</v>
      </c>
      <c r="H180" s="78" t="inlineStr">
        <is>
          <t>Yacine</t>
        </is>
      </c>
      <c r="I180" s="78" t="inlineStr">
        <is>
          <t>Terminé</t>
        </is>
      </c>
      <c r="J180" s="54" t="inlineStr">
        <is>
          <t>22 nov. 2026</t>
        </is>
      </c>
      <c r="K180" s="54" t="inlineStr">
        <is>
          <t>6 oct. 2026</t>
        </is>
      </c>
      <c r="L180" s="54" t="inlineStr">
        <is>
          <t>Synthèse rédigée dans le notebook 06 (sections 7 et 9)</t>
        </is>
      </c>
    </row>
    <row r="181" ht="15" customHeight="1" s="41">
      <c r="A181" s="54" t="inlineStr">
        <is>
          <t>T180</t>
        </is>
      </c>
      <c r="B181" s="54" t="inlineStr">
        <is>
          <t>US36</t>
        </is>
      </c>
      <c r="C181" s="54" t="inlineStr">
        <is>
          <t>E5 Analyse exploratoire (Q1 à Q5)</t>
        </is>
      </c>
      <c r="D181" s="54" t="inlineStr">
        <is>
          <t>Sprint 4</t>
        </is>
      </c>
      <c r="E181" s="54" t="inlineStr">
        <is>
          <t>Agréger les dépenses de publicité par boutique, mois et type de campagne</t>
        </is>
      </c>
      <c r="F181" s="54" t="inlineStr">
        <is>
          <t>Jupyter</t>
        </is>
      </c>
      <c r="G181" s="54" t="n">
        <v>1.5</v>
      </c>
      <c r="H181" s="78" t="inlineStr">
        <is>
          <t>Yacine</t>
        </is>
      </c>
      <c r="I181" s="78" t="inlineStr">
        <is>
          <t>Terminé</t>
        </is>
      </c>
      <c r="J181" s="54" t="inlineStr">
        <is>
          <t>22 nov. 2026</t>
        </is>
      </c>
      <c r="K181" s="54" t="inlineStr">
        <is>
          <t>6 oct. 2026</t>
        </is>
      </c>
      <c r="L181" s="54" t="inlineStr">
        <is>
          <t>Notebook 06 (section 8, détail des charges par compte)</t>
        </is>
      </c>
    </row>
    <row r="182" ht="15" customHeight="1" s="41">
      <c r="A182" s="54" t="inlineStr">
        <is>
          <t>T181</t>
        </is>
      </c>
      <c r="B182" s="54" t="inlineStr">
        <is>
          <t>US36</t>
        </is>
      </c>
      <c r="C182" s="54" t="inlineStr">
        <is>
          <t>E5 Analyse exploratoire (Q1 à Q5)</t>
        </is>
      </c>
      <c r="D182" s="54" t="inlineStr">
        <is>
          <t>Sprint 4</t>
        </is>
      </c>
      <c r="E182" s="54" t="inlineStr">
        <is>
          <t>Rapprocher la publicité des remises accordées et des ventes en promotion</t>
        </is>
      </c>
      <c r="F182" s="54" t="inlineStr">
        <is>
          <t>Jupyter</t>
        </is>
      </c>
      <c r="G182" s="54" t="n">
        <v>2</v>
      </c>
      <c r="H182" s="78" t="inlineStr">
        <is>
          <t>Yacine</t>
        </is>
      </c>
      <c r="I182" s="78" t="inlineStr">
        <is>
          <t>Terminé</t>
        </is>
      </c>
      <c r="J182" s="54" t="inlineStr">
        <is>
          <t>22 nov. 2026</t>
        </is>
      </c>
      <c r="K182" s="54" t="inlineStr">
        <is>
          <t>6 oct. 2026</t>
        </is>
      </c>
      <c r="L182" s="54" t="inlineStr">
        <is>
          <t>Notebook 07 (section 9) : la publicité des magasins pèse 11 fois les remises</t>
        </is>
      </c>
    </row>
    <row r="183" ht="15" customHeight="1" s="41">
      <c r="A183" s="54" t="inlineStr">
        <is>
          <t>T182</t>
        </is>
      </c>
      <c r="B183" s="54" t="inlineStr">
        <is>
          <t>US36</t>
        </is>
      </c>
      <c r="C183" s="54" t="inlineStr">
        <is>
          <t>E5 Analyse exploratoire (Q1 à Q5)</t>
        </is>
      </c>
      <c r="D183" s="54" t="inlineStr">
        <is>
          <t>Sprint 4</t>
        </is>
      </c>
      <c r="E183" s="54" t="inlineStr">
        <is>
          <t>Rédiger la synthèse publicité et promotions</t>
        </is>
      </c>
      <c r="F183" s="54" t="inlineStr">
        <is>
          <t>Word</t>
        </is>
      </c>
      <c r="G183" s="54" t="n">
        <v>1</v>
      </c>
      <c r="H183" s="78" t="inlineStr">
        <is>
          <t>Yacine</t>
        </is>
      </c>
      <c r="I183" s="78" t="inlineStr">
        <is>
          <t>Terminé</t>
        </is>
      </c>
      <c r="J183" s="54" t="inlineStr">
        <is>
          <t>22 nov. 2026</t>
        </is>
      </c>
      <c r="K183" s="54" t="inlineStr">
        <is>
          <t>6 oct. 2026</t>
        </is>
      </c>
      <c r="L183" s="54" t="inlineStr">
        <is>
          <t>Notebook 07 (section 9) : la publicité des magasins pèse 11 fois les remises</t>
        </is>
      </c>
    </row>
    <row r="184" ht="15" customHeight="1" s="41">
      <c r="A184" s="54" t="inlineStr">
        <is>
          <t>T183</t>
        </is>
      </c>
      <c r="B184" s="54" t="inlineStr">
        <is>
          <t>US37</t>
        </is>
      </c>
      <c r="C184" s="54" t="inlineStr">
        <is>
          <t>E5 Analyse exploratoire (Q1 à Q5)</t>
        </is>
      </c>
      <c r="D184" s="54" t="inlineStr">
        <is>
          <t>Sprint 4</t>
        </is>
      </c>
      <c r="E184" s="54" t="inlineStr">
        <is>
          <t>Extraire un agrégat mensuel de FactOnlineSales pour la boutique en ligne (dates au format AAAAMMJJ)</t>
        </is>
      </c>
      <c r="F184" s="54" t="inlineStr">
        <is>
          <t>Python / SQL Server</t>
        </is>
      </c>
      <c r="G184" s="54" t="n">
        <v>1.5</v>
      </c>
      <c r="H184" s="78" t="inlineStr">
        <is>
          <t>À répartir</t>
        </is>
      </c>
      <c r="I184" s="78" t="inlineStr">
        <is>
          <t>À faire</t>
        </is>
      </c>
      <c r="J184" s="54" t="inlineStr">
        <is>
          <t>22 nov. 2026</t>
        </is>
      </c>
      <c r="K184" s="54" t="n"/>
      <c r="L184" s="54" t="n"/>
    </row>
    <row r="185" ht="15" customHeight="1" s="41">
      <c r="A185" s="54" t="inlineStr">
        <is>
          <t>T184</t>
        </is>
      </c>
      <c r="B185" s="54" t="inlineStr">
        <is>
          <t>US37</t>
        </is>
      </c>
      <c r="C185" s="54" t="inlineStr">
        <is>
          <t>E5 Analyse exploratoire (Q1 à Q5)</t>
        </is>
      </c>
      <c r="D185" s="54" t="inlineStr">
        <is>
          <t>Sprint 4</t>
        </is>
      </c>
      <c r="E185" s="54" t="inlineStr">
        <is>
          <t>Comparer volumes, chiffre d'affaires et remises du détail en ligne et des ventes consolidées</t>
        </is>
      </c>
      <c r="F185" s="54" t="inlineStr">
        <is>
          <t>Jupyter</t>
        </is>
      </c>
      <c r="G185" s="54" t="n">
        <v>2</v>
      </c>
      <c r="H185" s="78" t="inlineStr">
        <is>
          <t>À répartir</t>
        </is>
      </c>
      <c r="I185" s="78" t="inlineStr">
        <is>
          <t>À faire</t>
        </is>
      </c>
      <c r="J185" s="54" t="inlineStr">
        <is>
          <t>22 nov. 2026</t>
        </is>
      </c>
      <c r="K185" s="54" t="n"/>
      <c r="L185" s="54" t="n"/>
    </row>
    <row r="186" ht="15" customHeight="1" s="41">
      <c r="A186" s="54" t="inlineStr">
        <is>
          <t>T185</t>
        </is>
      </c>
      <c r="B186" s="54" t="inlineStr">
        <is>
          <t>US37</t>
        </is>
      </c>
      <c r="C186" s="54" t="inlineStr">
        <is>
          <t>E5 Analyse exploratoire (Q1 à Q5)</t>
        </is>
      </c>
      <c r="D186" s="54" t="inlineStr">
        <is>
          <t>Sprint 4</t>
        </is>
      </c>
      <c r="E186" s="54" t="inlineStr">
        <is>
          <t>Rédiger la synthèse et la limite (canal en ligne seulement)</t>
        </is>
      </c>
      <c r="F186" s="54" t="inlineStr">
        <is>
          <t>Word</t>
        </is>
      </c>
      <c r="G186" s="54" t="n">
        <v>1</v>
      </c>
      <c r="H186" s="78" t="inlineStr">
        <is>
          <t>À répartir</t>
        </is>
      </c>
      <c r="I186" s="78" t="inlineStr">
        <is>
          <t>À faire</t>
        </is>
      </c>
      <c r="J186" s="54" t="inlineStr">
        <is>
          <t>22 nov. 2026</t>
        </is>
      </c>
      <c r="K186" s="54" t="n"/>
      <c r="L186" s="54" t="n"/>
    </row>
    <row r="187" ht="15" customHeight="1" s="41">
      <c r="A187" s="54" t="inlineStr">
        <is>
          <t>T186</t>
        </is>
      </c>
      <c r="B187" s="54" t="inlineStr">
        <is>
          <t>US38</t>
        </is>
      </c>
      <c r="C187" s="54" t="inlineStr">
        <is>
          <t>E5 Analyse exploratoire (Q1 à Q5)</t>
        </is>
      </c>
      <c r="D187" s="54" t="inlineStr">
        <is>
          <t>Sprint 4</t>
        </is>
      </c>
      <c r="E187" s="54" t="inlineStr">
        <is>
          <t>Analyser la baisse du premier trimestre 2021 par catégorie et par type de boutique</t>
        </is>
      </c>
      <c r="F187" s="54" t="inlineStr">
        <is>
          <t>Jupyter</t>
        </is>
      </c>
      <c r="G187" s="54" t="n">
        <v>1.5</v>
      </c>
      <c r="H187" s="78" t="inlineStr">
        <is>
          <t>Yacine</t>
        </is>
      </c>
      <c r="I187" s="78" t="inlineStr">
        <is>
          <t>Terminé</t>
        </is>
      </c>
      <c r="J187" s="54" t="inlineStr">
        <is>
          <t>22 nov. 2026</t>
        </is>
      </c>
      <c r="K187" s="54" t="inlineStr">
        <is>
          <t>6 oct. 2026</t>
        </is>
      </c>
      <c r="L187" s="54" t="inlineStr">
        <is>
          <t>Notebook 06, section 2</t>
        </is>
      </c>
    </row>
    <row r="188" ht="15" customHeight="1" s="41">
      <c r="A188" s="54" t="inlineStr">
        <is>
          <t>T187</t>
        </is>
      </c>
      <c r="B188" s="54" t="inlineStr">
        <is>
          <t>US38</t>
        </is>
      </c>
      <c r="C188" s="54" t="inlineStr">
        <is>
          <t>E5 Analyse exploratoire (Q1 à Q5)</t>
        </is>
      </c>
      <c r="D188" s="54" t="inlineStr">
        <is>
          <t>Sprint 4</t>
        </is>
      </c>
      <c r="E188" s="54" t="inlineStr">
        <is>
          <t>Décomposer la baisse de 2021 entre catalogue en place et nouveautés (année de lancement, catégorie, type de boutique, références vendues par magasin)</t>
        </is>
      </c>
      <c r="F188" s="54" t="inlineStr">
        <is>
          <t>Jupyter</t>
        </is>
      </c>
      <c r="G188" s="54" t="n">
        <v>2.5</v>
      </c>
      <c r="H188" s="78" t="inlineStr">
        <is>
          <t>Yacine</t>
        </is>
      </c>
      <c r="I188" s="78" t="inlineStr">
        <is>
          <t>Terminé</t>
        </is>
      </c>
      <c r="J188" s="54" t="inlineStr">
        <is>
          <t>22 nov. 2026</t>
        </is>
      </c>
      <c r="K188" s="54" t="inlineStr">
        <is>
          <t>6 oct. 2026</t>
        </is>
      </c>
      <c r="L188" s="54" t="inlineStr">
        <is>
          <t>Notebook 06, section 2 : catalogue en place −152 M$, nouveautés +81 M$</t>
        </is>
      </c>
    </row>
    <row r="189" ht="15" customHeight="1" s="41">
      <c r="A189" s="54" t="inlineStr">
        <is>
          <t>T188</t>
        </is>
      </c>
      <c r="B189" s="54" t="inlineStr">
        <is>
          <t>US38</t>
        </is>
      </c>
      <c r="C189" s="54" t="inlineStr">
        <is>
          <t>E5 Analyse exploratoire (Q1 à Q5)</t>
        </is>
      </c>
      <c r="D189" s="54" t="inlineStr">
        <is>
          <t>Sprint 4</t>
        </is>
      </c>
      <c r="E189" s="54" t="inlineStr">
        <is>
          <t>Tester l'hypothèse de l'usure du catalogue (Wilcoxon par produit, Kruskal-Wallis, renouvellement et ventes par sous-catégorie, absence de cannibalisation)</t>
        </is>
      </c>
      <c r="F189" s="54" t="inlineStr">
        <is>
          <t>Python (scipy)</t>
        </is>
      </c>
      <c r="G189" s="54" t="n">
        <v>3</v>
      </c>
      <c r="H189" s="78" t="inlineStr">
        <is>
          <t>Yacine</t>
        </is>
      </c>
      <c r="I189" s="78" t="inlineStr">
        <is>
          <t>Terminé</t>
        </is>
      </c>
      <c r="J189" s="54" t="inlineStr">
        <is>
          <t>22 nov. 2026</t>
        </is>
      </c>
      <c r="K189" s="54" t="inlineStr">
        <is>
          <t>6 oct. 2026</t>
        </is>
      </c>
      <c r="L189" s="54" t="inlineStr">
        <is>
          <t>Notebook 06, section 2 : 11 tests avec correction de Bonferroni</t>
        </is>
      </c>
    </row>
    <row r="190" ht="15" customHeight="1" s="41">
      <c r="A190" s="54" t="inlineStr">
        <is>
          <t>T189</t>
        </is>
      </c>
      <c r="B190" s="54" t="inlineStr">
        <is>
          <t>US39</t>
        </is>
      </c>
      <c r="C190" s="54" t="inlineStr">
        <is>
          <t>E5 Analyse exploratoire (Q1 à Q5)</t>
        </is>
      </c>
      <c r="D190" s="54" t="inlineStr">
        <is>
          <t>Sprint 4</t>
        </is>
      </c>
      <c r="E190" s="54" t="inlineStr">
        <is>
          <t>Détailler les charges par compte et les classer en fixes, ajustables et variables (élasticité aux ventes)</t>
        </is>
      </c>
      <c r="F190" s="54" t="inlineStr">
        <is>
          <t>Jupyter</t>
        </is>
      </c>
      <c r="G190" s="54" t="n">
        <v>2</v>
      </c>
      <c r="H190" s="78" t="inlineStr">
        <is>
          <t>Yacine</t>
        </is>
      </c>
      <c r="I190" s="78" t="inlineStr">
        <is>
          <t>Terminé</t>
        </is>
      </c>
      <c r="J190" s="54" t="inlineStr">
        <is>
          <t>22 nov. 2026</t>
        </is>
      </c>
      <c r="K190" s="54" t="inlineStr">
        <is>
          <t>6 oct. 2026</t>
        </is>
      </c>
      <c r="L190" s="54" t="inlineStr">
        <is>
          <t>Notebook 06, section 8</t>
        </is>
      </c>
    </row>
    <row r="191" ht="15" customHeight="1" s="41">
      <c r="A191" s="54" t="inlineStr">
        <is>
          <t>T190</t>
        </is>
      </c>
      <c r="B191" s="54" t="inlineStr">
        <is>
          <t>US39</t>
        </is>
      </c>
      <c r="C191" s="54" t="inlineStr">
        <is>
          <t>E5 Analyse exploratoire (Q1 à Q5)</t>
        </is>
      </c>
      <c r="D191" s="54" t="inlineStr">
        <is>
          <t>Sprint 4</t>
        </is>
      </c>
      <c r="E191" s="54" t="inlineStr">
        <is>
          <t>Comparer les charges 2020 et 2021 des magasins et chiffrer les deux étapes de maîtrise des charges</t>
        </is>
      </c>
      <c r="F191" s="54" t="inlineStr">
        <is>
          <t>Jupyter</t>
        </is>
      </c>
      <c r="G191" s="54" t="n">
        <v>2</v>
      </c>
      <c r="H191" s="78" t="inlineStr">
        <is>
          <t>Yacine</t>
        </is>
      </c>
      <c r="I191" s="78" t="inlineStr">
        <is>
          <t>Terminé</t>
        </is>
      </c>
      <c r="J191" s="54" t="inlineStr">
        <is>
          <t>22 nov. 2026</t>
        </is>
      </c>
      <c r="K191" s="54" t="inlineStr">
        <is>
          <t>6 oct. 2026</t>
        </is>
      </c>
      <c r="L191" s="54" t="inlineStr">
        <is>
          <t>Notebook 06, section 8 : 5,0 M$ puis 12,9 M$ par an</t>
        </is>
      </c>
    </row>
    <row r="192" ht="15" customHeight="1" s="41">
      <c r="A192" s="54" t="inlineStr">
        <is>
          <t>T191</t>
        </is>
      </c>
      <c r="B192" s="54" t="inlineStr">
        <is>
          <t>US39</t>
        </is>
      </c>
      <c r="C192" s="54" t="inlineStr">
        <is>
          <t>E5 Analyse exploratoire (Q1 à Q5)</t>
        </is>
      </c>
      <c r="D192" s="54" t="inlineStr">
        <is>
          <t>Sprint 4</t>
        </is>
      </c>
      <c r="E192" s="54" t="inlineStr">
        <is>
          <t>Chiffrer le regroupement par pays de l'administration et de l'informatique (socle fixe par magasin, coordinateurs conservés)</t>
        </is>
      </c>
      <c r="F192" s="54" t="inlineStr">
        <is>
          <t>Jupyter</t>
        </is>
      </c>
      <c r="G192" s="54" t="n">
        <v>2.5</v>
      </c>
      <c r="H192" s="78" t="inlineStr">
        <is>
          <t>Yacine</t>
        </is>
      </c>
      <c r="I192" s="78" t="inlineStr">
        <is>
          <t>Terminé</t>
        </is>
      </c>
      <c r="J192" s="54" t="inlineStr">
        <is>
          <t>22 nov. 2026</t>
        </is>
      </c>
      <c r="K192" s="54" t="inlineStr">
        <is>
          <t>6 oct. 2026</t>
        </is>
      </c>
      <c r="L192" s="54" t="inlineStr">
        <is>
          <t>Notebook 06, section 8 : piste de réflexion, 7,3 M$ par an</t>
        </is>
      </c>
    </row>
    <row r="193" ht="15" customHeight="1" s="41">
      <c r="A193" s="54" t="inlineStr">
        <is>
          <t>T192</t>
        </is>
      </c>
      <c r="B193" s="54" t="inlineStr">
        <is>
          <t>US39</t>
        </is>
      </c>
      <c r="C193" s="54" t="inlineStr">
        <is>
          <t>E5 Analyse exploratoire (Q1 à Q5)</t>
        </is>
      </c>
      <c r="D193" s="54" t="inlineStr">
        <is>
          <t>Sprint 4</t>
        </is>
      </c>
      <c r="E193" s="54" t="inlineStr">
        <is>
          <t>Construire le tableau des leviers annuels et la grille de sensibilité de la publicité des magasins</t>
        </is>
      </c>
      <c r="F193" s="54" t="inlineStr">
        <is>
          <t>Jupyter</t>
        </is>
      </c>
      <c r="G193" s="54" t="n">
        <v>2.5</v>
      </c>
      <c r="H193" s="78" t="inlineStr">
        <is>
          <t>Yacine</t>
        </is>
      </c>
      <c r="I193" s="78" t="inlineStr">
        <is>
          <t>Terminé</t>
        </is>
      </c>
      <c r="J193" s="54" t="inlineStr">
        <is>
          <t>22 nov. 2026</t>
        </is>
      </c>
      <c r="K193" s="54" t="inlineStr">
        <is>
          <t>7 oct. 2026</t>
        </is>
      </c>
      <c r="L193" s="54" t="inlineStr">
        <is>
          <t>Notebook 06, section 8, mis à jour après le notebook 09</t>
        </is>
      </c>
    </row>
    <row r="194" ht="15" customHeight="1" s="41">
      <c r="A194" s="54" t="inlineStr">
        <is>
          <t>T193</t>
        </is>
      </c>
      <c r="B194" s="54" t="inlineStr">
        <is>
          <t>US39</t>
        </is>
      </c>
      <c r="C194" s="54" t="inlineStr">
        <is>
          <t>E5 Analyse exploratoire (Q1 à Q5)</t>
        </is>
      </c>
      <c r="D194" s="54" t="inlineStr">
        <is>
          <t>Sprint 4</t>
        </is>
      </c>
      <c r="E194" s="54" t="inlineStr">
        <is>
          <t>Créer src/analyse.py (fonctions communes aux notebooks 06 à 09 : indicateurs, tests, registre des tests, export Excel)</t>
        </is>
      </c>
      <c r="F194" s="54" t="inlineStr">
        <is>
          <t>Python</t>
        </is>
      </c>
      <c r="G194" s="54" t="n">
        <v>2</v>
      </c>
      <c r="H194" s="78" t="inlineStr">
        <is>
          <t>Yacine</t>
        </is>
      </c>
      <c r="I194" s="78" t="inlineStr">
        <is>
          <t>Terminé</t>
        </is>
      </c>
      <c r="J194" s="54" t="inlineStr">
        <is>
          <t>22 nov. 2026</t>
        </is>
      </c>
      <c r="K194" s="54" t="inlineStr">
        <is>
          <t>6 oct. 2026</t>
        </is>
      </c>
      <c r="L194" s="54" t="inlineStr">
        <is>
          <t>Module utilisé par les notebooks 06, 07, 08 et 09</t>
        </is>
      </c>
    </row>
    <row r="195" ht="15" customHeight="1" s="41">
      <c r="A195" s="54" t="inlineStr">
        <is>
          <t>T194</t>
        </is>
      </c>
      <c r="B195" s="54" t="inlineStr">
        <is>
          <t>US22</t>
        </is>
      </c>
      <c r="C195" s="54" t="inlineStr">
        <is>
          <t>E5 Analyse exploratoire (Q1 à Q5)</t>
        </is>
      </c>
      <c r="D195" s="54" t="inlineStr">
        <is>
          <t>Sprint 5</t>
        </is>
      </c>
      <c r="E195" s="54" t="inlineStr">
        <is>
          <t>Comparer les lignes remisées et non remisées à produit et mois égaux, par type de boutique et par niveau, et borner chaque décision (intervalles par rééchantillonnage)</t>
        </is>
      </c>
      <c r="F195" s="54" t="inlineStr">
        <is>
          <t>Python (scipy)</t>
        </is>
      </c>
      <c r="G195" s="54" t="n">
        <v>3</v>
      </c>
      <c r="H195" s="78" t="inlineStr">
        <is>
          <t>Yacine</t>
        </is>
      </c>
      <c r="I195" s="78" t="inlineStr">
        <is>
          <t>Terminé</t>
        </is>
      </c>
      <c r="J195" s="54" t="inlineStr">
        <is>
          <t>6 déc. 2026</t>
        </is>
      </c>
      <c r="K195" s="54" t="inlineStr">
        <is>
          <t>7 oct. 2026</t>
        </is>
      </c>
      <c r="L195" s="54" t="inlineStr">
        <is>
          <t>Notebook 09 : remises à arrêter en magasin (6,0 à 7,1 M$ par an), à tester ailleurs</t>
        </is>
      </c>
    </row>
    <row r="196" ht="15" customHeight="1" s="41">
      <c r="A196" s="54" t="inlineStr">
        <is>
          <t>T195</t>
        </is>
      </c>
      <c r="B196" s="54" t="inlineStr">
        <is>
          <t>US23</t>
        </is>
      </c>
      <c r="C196" s="54" t="inlineStr">
        <is>
          <t>E6 Modélisation prédictive</t>
        </is>
      </c>
      <c r="D196" s="54" t="inlineStr">
        <is>
          <t>Sprint 5</t>
        </is>
      </c>
      <c r="E196" s="54" t="inlineStr">
        <is>
          <t>Construire les cohortes : ventes mensuelles par âge du produit, catégorie et type de boutique</t>
        </is>
      </c>
      <c r="F196" s="54" t="inlineStr">
        <is>
          <t>Python (pandas)</t>
        </is>
      </c>
      <c r="G196" s="54" t="n">
        <v>2</v>
      </c>
      <c r="H196" s="78" t="inlineStr">
        <is>
          <t>À répartir</t>
        </is>
      </c>
      <c r="I196" s="78" t="inlineStr">
        <is>
          <t>À faire</t>
        </is>
      </c>
      <c r="J196" s="54" t="inlineStr">
        <is>
          <t>6 déc. 2026</t>
        </is>
      </c>
      <c r="K196" s="54" t="n"/>
      <c r="L196" s="54" t="inlineStr">
        <is>
          <t>Notebook 10</t>
        </is>
      </c>
    </row>
    <row r="197" ht="15" customHeight="1" s="41">
      <c r="A197" s="54" t="inlineStr">
        <is>
          <t>T196</t>
        </is>
      </c>
      <c r="B197" s="54" t="inlineStr">
        <is>
          <t>US23</t>
        </is>
      </c>
      <c r="C197" s="54" t="inlineStr">
        <is>
          <t>E6 Modélisation prédictive</t>
        </is>
      </c>
      <c r="D197" s="54" t="inlineStr">
        <is>
          <t>Sprint 5</t>
        </is>
      </c>
      <c r="E197" s="54" t="inlineStr">
        <is>
          <t>Estimer la courbe de vie d'un produit et prévoir les ventes 2022 du catalogue en place, avec une fourchette</t>
        </is>
      </c>
      <c r="F197" s="54" t="inlineStr">
        <is>
          <t>Python (statsmodels)</t>
        </is>
      </c>
      <c r="G197" s="54" t="n">
        <v>3</v>
      </c>
      <c r="H197" s="78" t="inlineStr">
        <is>
          <t>À répartir</t>
        </is>
      </c>
      <c r="I197" s="78" t="inlineStr">
        <is>
          <t>À faire</t>
        </is>
      </c>
      <c r="J197" s="54" t="inlineStr">
        <is>
          <t>6 déc. 2026</t>
        </is>
      </c>
      <c r="K197" s="54" t="n"/>
      <c r="L197" s="54" t="inlineStr">
        <is>
          <t>Notebook 10</t>
        </is>
      </c>
    </row>
    <row r="198" ht="15" customHeight="1" s="41">
      <c r="A198" s="54" t="inlineStr">
        <is>
          <t>T197</t>
        </is>
      </c>
      <c r="B198" s="54" t="inlineStr">
        <is>
          <t>US23</t>
        </is>
      </c>
      <c r="C198" s="54" t="inlineStr">
        <is>
          <t>E6 Modélisation prédictive</t>
        </is>
      </c>
      <c r="D198" s="54" t="inlineStr">
        <is>
          <t>Sprint 5</t>
        </is>
      </c>
      <c r="E198" s="54" t="inlineStr">
        <is>
          <t>Prévoir les ventes 2022 selon le nombre de nouveautés lancées (trois hypothèses)</t>
        </is>
      </c>
      <c r="F198" s="54" t="inlineStr">
        <is>
          <t>Python (pandas)</t>
        </is>
      </c>
      <c r="G198" s="54" t="n">
        <v>2</v>
      </c>
      <c r="H198" s="78" t="inlineStr">
        <is>
          <t>À répartir</t>
        </is>
      </c>
      <c r="I198" s="78" t="inlineStr">
        <is>
          <t>À faire</t>
        </is>
      </c>
      <c r="J198" s="54" t="inlineStr">
        <is>
          <t>6 déc. 2026</t>
        </is>
      </c>
      <c r="K198" s="54" t="n"/>
      <c r="L198" s="54" t="inlineStr">
        <is>
          <t>Notebook 10</t>
        </is>
      </c>
    </row>
    <row r="199" ht="15" customHeight="1" s="41">
      <c r="A199" s="54" t="inlineStr">
        <is>
          <t>T198</t>
        </is>
      </c>
      <c r="B199" s="54" t="inlineStr">
        <is>
          <t>US40</t>
        </is>
      </c>
      <c r="C199" s="54" t="inlineStr">
        <is>
          <t>E6 Modélisation prédictive</t>
        </is>
      </c>
      <c r="D199" s="54" t="inlineStr">
        <is>
          <t>Sprint 5</t>
        </is>
      </c>
      <c r="E199" s="54" t="inlineStr">
        <is>
          <t>Estimer pour chaque compte de charges la part fixe et la part variable selon les ventes (régression par magasin)</t>
        </is>
      </c>
      <c r="F199" s="54" t="inlineStr">
        <is>
          <t>Python (statsmodels)</t>
        </is>
      </c>
      <c r="G199" s="54" t="n">
        <v>2.5</v>
      </c>
      <c r="H199" s="78" t="inlineStr">
        <is>
          <t>À répartir</t>
        </is>
      </c>
      <c r="I199" s="78" t="inlineStr">
        <is>
          <t>À faire</t>
        </is>
      </c>
      <c r="J199" s="54" t="inlineStr">
        <is>
          <t>6 déc. 2026</t>
        </is>
      </c>
      <c r="K199" s="54" t="n"/>
      <c r="L199" s="54" t="inlineStr">
        <is>
          <t>Notebook 11</t>
        </is>
      </c>
    </row>
    <row r="200" ht="15" customHeight="1" s="41">
      <c r="A200" s="54" t="inlineStr">
        <is>
          <t>T199</t>
        </is>
      </c>
      <c r="B200" s="54" t="inlineStr">
        <is>
          <t>US40</t>
        </is>
      </c>
      <c r="C200" s="54" t="inlineStr">
        <is>
          <t>E6 Modélisation prédictive</t>
        </is>
      </c>
      <c r="D200" s="54" t="inlineStr">
        <is>
          <t>Sprint 5</t>
        </is>
      </c>
      <c r="E200" s="54" t="inlineStr">
        <is>
          <t>Prévoir les charges et le résultat d'exploitation pour un niveau de ventes donné, avec un intervalle de prévision</t>
        </is>
      </c>
      <c r="F200" s="54" t="inlineStr">
        <is>
          <t>Python (statsmodels)</t>
        </is>
      </c>
      <c r="G200" s="54" t="n">
        <v>2</v>
      </c>
      <c r="H200" s="78" t="inlineStr">
        <is>
          <t>À répartir</t>
        </is>
      </c>
      <c r="I200" s="78" t="inlineStr">
        <is>
          <t>À faire</t>
        </is>
      </c>
      <c r="J200" s="54" t="inlineStr">
        <is>
          <t>6 déc. 2026</t>
        </is>
      </c>
      <c r="K200" s="54" t="n"/>
      <c r="L200" s="54" t="inlineStr">
        <is>
          <t>Notebook 11</t>
        </is>
      </c>
    </row>
    <row r="201" ht="15" customHeight="1" s="41">
      <c r="A201" s="54" t="inlineStr">
        <is>
          <t>T200</t>
        </is>
      </c>
      <c r="B201" s="54" t="inlineStr">
        <is>
          <t>US40</t>
        </is>
      </c>
      <c r="C201" s="54" t="inlineStr">
        <is>
          <t>E6 Modélisation prédictive</t>
        </is>
      </c>
      <c r="D201" s="54" t="inlineStr">
        <is>
          <t>Sprint 5</t>
        </is>
      </c>
      <c r="E201" s="54" t="inlineStr">
        <is>
          <t>Valider le modèle des charges (entraînement 2020, test 2021) et exporter vers data/outputs/predictions</t>
        </is>
      </c>
      <c r="F201" s="54" t="inlineStr">
        <is>
          <t>Python (scikit-learn)</t>
        </is>
      </c>
      <c r="G201" s="54" t="n">
        <v>1.5</v>
      </c>
      <c r="H201" s="78" t="inlineStr">
        <is>
          <t>À répartir</t>
        </is>
      </c>
      <c r="I201" s="78" t="inlineStr">
        <is>
          <t>À faire</t>
        </is>
      </c>
      <c r="J201" s="54" t="inlineStr">
        <is>
          <t>6 déc. 2026</t>
        </is>
      </c>
      <c r="K201" s="54" t="n"/>
      <c r="L201" s="54" t="inlineStr">
        <is>
          <t>Notebook 11</t>
        </is>
      </c>
    </row>
    <row r="202" ht="15" customHeight="1" s="41">
      <c r="A202" s="54" t="inlineStr">
        <is>
          <t>T201</t>
        </is>
      </c>
      <c r="B202" s="54" t="inlineStr">
        <is>
          <t>US41</t>
        </is>
      </c>
      <c r="C202" s="54" t="inlineStr">
        <is>
          <t>E6 Modélisation prédictive</t>
        </is>
      </c>
      <c r="D202" s="54" t="inlineStr">
        <is>
          <t>Sprint 5</t>
        </is>
      </c>
      <c r="E202" s="54" t="inlineStr">
        <is>
          <t>Construire le profil des 54 magasins (ventes, charges par compte, offre vendue, surface, effectif, pays)</t>
        </is>
      </c>
      <c r="F202" s="54" t="inlineStr">
        <is>
          <t>Python (pandas)</t>
        </is>
      </c>
      <c r="G202" s="54" t="n">
        <v>1.5</v>
      </c>
      <c r="H202" s="78" t="inlineStr">
        <is>
          <t>À répartir</t>
        </is>
      </c>
      <c r="I202" s="78" t="inlineStr">
        <is>
          <t>À faire</t>
        </is>
      </c>
      <c r="J202" s="54" t="inlineStr">
        <is>
          <t>6 déc. 2026</t>
        </is>
      </c>
      <c r="K202" s="54" t="n"/>
      <c r="L202" s="54" t="inlineStr">
        <is>
          <t>Notebook 12</t>
        </is>
      </c>
    </row>
    <row r="203" ht="15" customHeight="1" s="41">
      <c r="A203" s="54" t="inlineStr">
        <is>
          <t>T202</t>
        </is>
      </c>
      <c r="B203" s="54" t="inlineStr">
        <is>
          <t>US41</t>
        </is>
      </c>
      <c r="C203" s="54" t="inlineStr">
        <is>
          <t>E6 Modélisation prédictive</t>
        </is>
      </c>
      <c r="D203" s="54" t="inlineStr">
        <is>
          <t>Sprint 5</t>
        </is>
      </c>
      <c r="E203" s="54" t="inlineStr">
        <is>
          <t>Regrouper les magasins (k-moyennes et classification hiérarchique) et choisir le nombre de groupes</t>
        </is>
      </c>
      <c r="F203" s="54" t="inlineStr">
        <is>
          <t>Python (scikit-learn)</t>
        </is>
      </c>
      <c r="G203" s="54" t="n">
        <v>2.5</v>
      </c>
      <c r="H203" s="78" t="inlineStr">
        <is>
          <t>À répartir</t>
        </is>
      </c>
      <c r="I203" s="78" t="inlineStr">
        <is>
          <t>À faire</t>
        </is>
      </c>
      <c r="J203" s="54" t="inlineStr">
        <is>
          <t>6 déc. 2026</t>
        </is>
      </c>
      <c r="K203" s="54" t="n"/>
      <c r="L203" s="54" t="inlineStr">
        <is>
          <t>Notebook 12</t>
        </is>
      </c>
    </row>
    <row r="204" ht="15" customHeight="1" s="41">
      <c r="A204" s="54" t="inlineStr">
        <is>
          <t>T203</t>
        </is>
      </c>
      <c r="B204" s="54" t="inlineStr">
        <is>
          <t>US41</t>
        </is>
      </c>
      <c r="C204" s="54" t="inlineStr">
        <is>
          <t>E6 Modélisation prédictive</t>
        </is>
      </c>
      <c r="D204" s="54" t="inlineStr">
        <is>
          <t>Sprint 5</t>
        </is>
      </c>
      <c r="E204" s="54" t="inlineStr">
        <is>
          <t>Interpréter les groupes et expliquer l'écart entre les 8 magasins à 21 % de frais généraux et les 46 autres</t>
        </is>
      </c>
      <c r="F204" s="54" t="inlineStr">
        <is>
          <t>Jupyter</t>
        </is>
      </c>
      <c r="G204" s="54" t="n">
        <v>2</v>
      </c>
      <c r="H204" s="78" t="inlineStr">
        <is>
          <t>À répartir</t>
        </is>
      </c>
      <c r="I204" s="78" t="inlineStr">
        <is>
          <t>À faire</t>
        </is>
      </c>
      <c r="J204" s="54" t="inlineStr">
        <is>
          <t>6 déc. 2026</t>
        </is>
      </c>
      <c r="K204" s="54" t="n"/>
      <c r="L204" s="54" t="inlineStr">
        <is>
          <t>Notebook 12 : question laissée ouverte dans le notebook 06</t>
        </is>
      </c>
    </row>
    <row r="205" ht="15" customHeight="1" s="41">
      <c r="A205" s="54" t="inlineStr">
        <is>
          <t>T204</t>
        </is>
      </c>
      <c r="B205" s="54" t="inlineStr">
        <is>
          <t>US42</t>
        </is>
      </c>
      <c r="C205" s="54" t="inlineStr">
        <is>
          <t>E7 Tableaux de bord</t>
        </is>
      </c>
      <c r="D205" s="54" t="inlineStr">
        <is>
          <t>Sprint 5</t>
        </is>
      </c>
      <c r="E205" s="54" t="inlineStr">
        <is>
          <t>Créer l'application Streamlit (structure, chargement des agrégats et des sorties des modèles, charte graphique)</t>
        </is>
      </c>
      <c r="F205" s="54" t="inlineStr">
        <is>
          <t>Python (Streamlit)</t>
        </is>
      </c>
      <c r="G205" s="54" t="n">
        <v>2</v>
      </c>
      <c r="H205" s="78" t="inlineStr">
        <is>
          <t>À répartir</t>
        </is>
      </c>
      <c r="I205" s="78" t="inlineStr">
        <is>
          <t>À faire</t>
        </is>
      </c>
      <c r="J205" s="54" t="inlineStr">
        <is>
          <t>6 déc. 2026</t>
        </is>
      </c>
      <c r="K205" s="54" t="n"/>
      <c r="L205" s="54" t="inlineStr">
        <is>
          <t>Mêmes données et mêmes 4 pages que Power BI</t>
        </is>
      </c>
    </row>
    <row r="206" ht="15" customHeight="1" s="41">
      <c r="A206" s="54" t="inlineStr">
        <is>
          <t>T205</t>
        </is>
      </c>
      <c r="B206" s="54" t="inlineStr">
        <is>
          <t>US42</t>
        </is>
      </c>
      <c r="C206" s="54" t="inlineStr">
        <is>
          <t>E7 Tableaux de bord</t>
        </is>
      </c>
      <c r="D206" s="54" t="inlineStr">
        <is>
          <t>Sprint 5</t>
        </is>
      </c>
      <c r="E206" s="54" t="inlineStr">
        <is>
          <t>Pages vue d'ensemble, catalogue, magasins et charges (graphiques interactifs)</t>
        </is>
      </c>
      <c r="F206" s="54" t="inlineStr">
        <is>
          <t>Python (Streamlit, plotly)</t>
        </is>
      </c>
      <c r="G206" s="54" t="n">
        <v>4</v>
      </c>
      <c r="H206" s="78" t="inlineStr">
        <is>
          <t>À répartir</t>
        </is>
      </c>
      <c r="I206" s="78" t="inlineStr">
        <is>
          <t>À faire</t>
        </is>
      </c>
      <c r="J206" s="54" t="inlineStr">
        <is>
          <t>6 déc. 2026</t>
        </is>
      </c>
      <c r="K206" s="54" t="n"/>
      <c r="L206" s="54" t="n"/>
    </row>
    <row r="207" ht="15" customHeight="1" s="41">
      <c r="A207" s="54" t="inlineStr">
        <is>
          <t>T206</t>
        </is>
      </c>
      <c r="B207" s="54" t="inlineStr">
        <is>
          <t>US42</t>
        </is>
      </c>
      <c r="C207" s="54" t="inlineStr">
        <is>
          <t>E7 Tableaux de bord</t>
        </is>
      </c>
      <c r="D207" s="54" t="inlineStr">
        <is>
          <t>Sprint 5</t>
        </is>
      </c>
      <c r="E207" s="54" t="inlineStr">
        <is>
          <t>Page simulateur : curseurs des leviers, résultat attendu et fourchette selon la réaction des ventes</t>
        </is>
      </c>
      <c r="F207" s="54" t="inlineStr">
        <is>
          <t>Python (Streamlit)</t>
        </is>
      </c>
      <c r="G207" s="54" t="n">
        <v>2.5</v>
      </c>
      <c r="H207" s="78" t="inlineStr">
        <is>
          <t>À répartir</t>
        </is>
      </c>
      <c r="I207" s="78" t="inlineStr">
        <is>
          <t>À faire</t>
        </is>
      </c>
      <c r="J207" s="54" t="inlineStr">
        <is>
          <t>6 déc. 2026</t>
        </is>
      </c>
      <c r="K207" s="54" t="n"/>
      <c r="L207" s="54" t="inlineStr">
        <is>
          <t>Reprend le notebook 13</t>
        </is>
      </c>
    </row>
    <row r="208" ht="15" customHeight="1" s="41">
      <c r="A208" s="54" t="inlineStr">
        <is>
          <t>T207</t>
        </is>
      </c>
      <c r="B208" s="54" t="inlineStr">
        <is>
          <t>US42</t>
        </is>
      </c>
      <c r="C208" s="54" t="inlineStr">
        <is>
          <t>E7 Tableaux de bord</t>
        </is>
      </c>
      <c r="D208" s="54" t="inlineStr">
        <is>
          <t>Sprint 5</t>
        </is>
      </c>
      <c r="E208" s="54" t="inlineStr">
        <is>
          <t>Tester l'application, contrôler les chiffres contre les notebooks et documenter le lancement (README)</t>
        </is>
      </c>
      <c r="F208" s="54" t="inlineStr">
        <is>
          <t>Python (Streamlit)</t>
        </is>
      </c>
      <c r="G208" s="54" t="n">
        <v>1.5</v>
      </c>
      <c r="H208" s="78" t="inlineStr">
        <is>
          <t>À répartir</t>
        </is>
      </c>
      <c r="I208" s="78" t="inlineStr">
        <is>
          <t>À faire</t>
        </is>
      </c>
      <c r="J208" s="54" t="inlineStr">
        <is>
          <t>6 déc. 2026</t>
        </is>
      </c>
      <c r="K208" s="54" t="n"/>
      <c r="L208" s="54" t="n"/>
    </row>
    <row r="209" ht="15" customHeight="1" s="41">
      <c r="A209" s="54" t="inlineStr">
        <is>
          <t>T208</t>
        </is>
      </c>
      <c r="B209" s="54" t="inlineStr">
        <is>
          <t>US07</t>
        </is>
      </c>
      <c r="C209" s="54" t="inlineStr">
        <is>
          <t>E0 Gestion de projet Scrum</t>
        </is>
      </c>
      <c r="D209" s="54" t="inlineStr">
        <is>
          <t>Sprint 1</t>
        </is>
      </c>
      <c r="E209" s="54" t="inlineStr">
        <is>
          <t>Mettre à jour le backlog à la lumière des analyses Q1 à Q5 (version 3) et l'onglet Changements</t>
        </is>
      </c>
      <c r="F209" s="54" t="inlineStr">
        <is>
          <t>Excel</t>
        </is>
      </c>
      <c r="G209" s="54" t="n">
        <v>2</v>
      </c>
      <c r="H209" s="78" t="inlineStr">
        <is>
          <t>Yacine</t>
        </is>
      </c>
      <c r="I209" s="78" t="inlineStr">
        <is>
          <t>Terminé</t>
        </is>
      </c>
      <c r="J209" s="54" t="inlineStr">
        <is>
          <t>18 oct. 2026</t>
        </is>
      </c>
      <c r="K209" s="54" t="inlineStr">
        <is>
          <t>7 oct. 2026</t>
        </is>
      </c>
      <c r="L209" s="54" t="inlineStr">
        <is>
          <t>Ce classeur</t>
        </is>
      </c>
    </row>
    <row r="210" ht="15" customHeight="1" s="41">
      <c r="A210" s="54" t="inlineStr">
        <is>
          <t>T209</t>
        </is>
      </c>
      <c r="B210" s="54" t="inlineStr">
        <is>
          <t>US07</t>
        </is>
      </c>
      <c r="C210" s="54" t="inlineStr">
        <is>
          <t>E0 Gestion de projet Scrum</t>
        </is>
      </c>
      <c r="D210" s="54" t="inlineStr">
        <is>
          <t>Sprint 1</t>
        </is>
      </c>
      <c r="E210" s="54" t="inlineStr">
        <is>
          <t>Reporter les changements du 7 octobre dans Jira (statuts, nouvelles user stories, tâches écartées)</t>
        </is>
      </c>
      <c r="F210" s="54" t="inlineStr">
        <is>
          <t>Jira</t>
        </is>
      </c>
      <c r="G210" s="54" t="n">
        <v>1.5</v>
      </c>
      <c r="H210" s="78" t="inlineStr">
        <is>
          <t>À répartir</t>
        </is>
      </c>
      <c r="I210" s="78" t="inlineStr">
        <is>
          <t>À faire</t>
        </is>
      </c>
      <c r="J210" s="54" t="inlineStr">
        <is>
          <t>18 oct. 2026</t>
        </is>
      </c>
      <c r="K210" s="54" t="n"/>
      <c r="L210" s="54" t="n"/>
    </row>
    <row r="211" ht="15" customHeight="1" s="41">
      <c r="A211" s="54" t="inlineStr">
        <is>
          <t>T210</t>
        </is>
      </c>
      <c r="B211" s="54" t="inlineStr">
        <is>
          <t>US13</t>
        </is>
      </c>
      <c r="C211" s="54" t="inlineStr">
        <is>
          <t>E3 Qualité et nettoyage</t>
        </is>
      </c>
      <c r="D211" s="54" t="inlineStr">
        <is>
          <t>Sprint 2</t>
        </is>
      </c>
      <c r="E211" s="54" t="inlineStr">
        <is>
          <t>Règle N7 : imputer l'effectif manquant d'un magasin par la médiane des magasins comparables, ajouter l'indicateur effectif_impute et quatre contrôles de validation</t>
        </is>
      </c>
      <c r="F211" s="54" t="inlineStr">
        <is>
          <t>Jupyter</t>
        </is>
      </c>
      <c r="G211" s="54" t="n">
        <v>2</v>
      </c>
      <c r="H211" s="78" t="inlineStr">
        <is>
          <t>Yacine</t>
        </is>
      </c>
      <c r="I211" s="78" t="inlineStr">
        <is>
          <t>Terminé</t>
        </is>
      </c>
      <c r="J211" s="54" t="inlineStr">
        <is>
          <t>1 nov. 2026</t>
        </is>
      </c>
      <c r="K211" s="54" t="inlineStr">
        <is>
          <t>7 oct. 2026</t>
        </is>
      </c>
      <c r="L211" s="54" t="inlineStr">
        <is>
          <t>Notebooks 03 et 04 : Contoso Cheshire Store, 29 employés (médiane de 12 magasins)</t>
        </is>
      </c>
    </row>
    <row r="212" ht="15" customHeight="1" s="41">
      <c r="A212" s="54" t="inlineStr">
        <is>
          <t>T211</t>
        </is>
      </c>
      <c r="B212" s="54" t="inlineStr">
        <is>
          <t>US13</t>
        </is>
      </c>
      <c r="C212" s="54" t="inlineStr">
        <is>
          <t>E3 Qualité et nettoyage</t>
        </is>
      </c>
      <c r="D212" s="54" t="inlineStr">
        <is>
          <t>Sprint 2</t>
        </is>
      </c>
      <c r="E212" s="54" t="inlineStr">
        <is>
          <t>Tester si l'effectif d'un magasin peut se déduire de sa masse salariale (justification de la règle N7)</t>
        </is>
      </c>
      <c r="F212" s="54" t="inlineStr">
        <is>
          <t>Jupyter</t>
        </is>
      </c>
      <c r="G212" s="54" t="n">
        <v>1.5</v>
      </c>
      <c r="H212" s="78" t="inlineStr">
        <is>
          <t>Yacine</t>
        </is>
      </c>
      <c r="I212" s="78" t="inlineStr">
        <is>
          <t>Terminé</t>
        </is>
      </c>
      <c r="J212" s="54" t="inlineStr">
        <is>
          <t>1 nov. 2026</t>
        </is>
      </c>
      <c r="K212" s="54" t="inlineStr">
        <is>
          <t>7 oct. 2026</t>
        </is>
      </c>
      <c r="L212" s="54" t="inlineStr">
        <is>
          <t>Notebook 05b, section 7 : aucun lien entre effectif et charges de personnel</t>
        </is>
      </c>
    </row>
    <row r="213" ht="15" customHeight="1" s="41">
      <c r="F213" s="54" t="inlineStr">
        <is>
          <t>Total</t>
        </is>
      </c>
      <c r="G213" s="54">
        <f>SUM(G2:G212)</f>
        <v/>
      </c>
    </row>
  </sheetData>
  <autoFilter ref="A1:L212"/>
  <dataValidations count="1">
    <dataValidation sqref="I2:I212" showDropDown="0" showInputMessage="0" showErrorMessage="0" allowBlank="1" type="list" errorStyle="stop" operator="between">
      <formula1>"À faire,En cours,En revue,Terminé,Bloqué,Écartée"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0" min="1" max="1"/>
    <col width="26" customWidth="1" style="40" min="2" max="2"/>
    <col width="70" customWidth="1" style="40" min="3" max="4"/>
    <col width="18" customWidth="1" style="40" min="5" max="5"/>
  </cols>
  <sheetData>
    <row r="1" ht="15" customHeight="1" s="41">
      <c r="A1" s="44" t="inlineStr">
        <is>
          <t>Date</t>
        </is>
      </c>
      <c r="B1" s="44" t="inlineStr">
        <is>
          <t>Élément</t>
        </is>
      </c>
      <c r="C1" s="44" t="inlineStr">
        <is>
          <t>Changement</t>
        </is>
      </c>
      <c r="D1" s="44" t="inlineStr">
        <is>
          <t>Raison</t>
        </is>
      </c>
      <c r="E1" s="44" t="inlineStr">
        <is>
          <t>Statut dans Jira</t>
        </is>
      </c>
    </row>
    <row r="2" ht="34.5" customHeight="1" s="41">
      <c r="A2" s="45" t="inlineStr">
        <is>
          <t>6 oct. 2026</t>
        </is>
      </c>
      <c r="B2" s="45" t="inlineStr">
        <is>
          <t>Périmètre des données</t>
        </is>
      </c>
      <c r="C2" s="45" t="inlineStr">
        <is>
          <t>Passage des fichiers fournis (5 catégories, trimestres 1 à 3, 144 874 lignes) aux ventes complètes des 56 boutiques (8 catégories, 8 trimestres, 376 234 lignes)</t>
        </is>
      </c>
      <c r="D2" s="45" t="inlineStr">
        <is>
          <t>Seul périmètre comparable aux charges du plan stratégique ; les catégories absentes pèsent plus de la moitié du chiffre d'affaires ; fin d'année et promotion des Fêtes présentes</t>
        </is>
      </c>
      <c r="E2" s="45" t="inlineStr">
        <is>
          <t>Sans objet</t>
        </is>
      </c>
    </row>
    <row r="3" ht="23.25" customHeight="1" s="41">
      <c r="A3" s="45" t="inlineStr">
        <is>
          <t>6 oct. 2026</t>
        </is>
      </c>
      <c r="B3" s="45" t="inlineStr">
        <is>
          <t>US34 (nouvelle, Must)</t>
        </is>
      </c>
      <c r="C3" s="45" t="inlineStr">
        <is>
          <t>Étendre les ventes au périmètre complet : 8 tâches T167 à T174, dont 7 déjà terminées</t>
        </is>
      </c>
      <c r="D3" s="45" t="inlineStr">
        <is>
          <t>Travail réalisé le 6 octobre, à tracer dans le backlog</t>
        </is>
      </c>
      <c r="E3" s="45" t="inlineStr">
        <is>
          <t>À créer</t>
        </is>
      </c>
    </row>
    <row r="4" ht="23.25" customHeight="1" s="41">
      <c r="A4" s="45" t="inlineStr">
        <is>
          <t>6 oct. 2026</t>
        </is>
      </c>
      <c r="B4" s="45" t="inlineStr">
        <is>
          <t>US35 (nouvelle, Should)</t>
        </is>
      </c>
      <c r="C4" s="45" t="inlineStr">
        <is>
          <t>Rentabilité nette par boutique à partir des charges du plan stratégique : 5 tâches T175 à T179</t>
        </is>
      </c>
      <c r="D4" s="45" t="inlineStr">
        <is>
          <t>Les charges par boutique existent dans Contoso et se rapprochent de nos ventes au cent près</t>
        </is>
      </c>
      <c r="E4" s="45" t="inlineStr">
        <is>
          <t>À créer</t>
        </is>
      </c>
    </row>
    <row r="5" ht="15" customHeight="1" s="41">
      <c r="A5" s="45" t="inlineStr">
        <is>
          <t>6 oct. 2026</t>
        </is>
      </c>
      <c r="B5" s="45" t="inlineStr">
        <is>
          <t>US36 (nouvelle, Should)</t>
        </is>
      </c>
      <c r="C5" s="45" t="inlineStr">
        <is>
          <t>Dépenses de publicité face aux promotions : 3 tâches T180 à T182</t>
        </is>
      </c>
      <c r="D5" s="45" t="inlineStr">
        <is>
          <t>Complète Q2 et Q5</t>
        </is>
      </c>
      <c r="E5" s="45" t="inlineStr">
        <is>
          <t>À créer</t>
        </is>
      </c>
    </row>
    <row r="6" ht="15" customHeight="1" s="41">
      <c r="A6" s="45" t="inlineStr">
        <is>
          <t>6 oct. 2026</t>
        </is>
      </c>
      <c r="B6" s="45" t="inlineStr">
        <is>
          <t>US37 (nouvelle, Could)</t>
        </is>
      </c>
      <c r="C6" s="45" t="inlineStr">
        <is>
          <t>Détail des ventes en ligne pour comprendre les remises : 3 tâches T183 à T185</t>
        </is>
      </c>
      <c r="D6" s="45" t="inlineStr">
        <is>
          <t>Seule table transactionnelle de la base, limitée au canal en ligne</t>
        </is>
      </c>
      <c r="E6" s="45" t="inlineStr">
        <is>
          <t>À créer</t>
        </is>
      </c>
    </row>
    <row r="7" ht="23.25" customHeight="1" s="41">
      <c r="A7" s="45" t="inlineStr">
        <is>
          <t>6 oct. 2026</t>
        </is>
      </c>
      <c r="B7" s="45" t="inlineStr">
        <is>
          <t>US28</t>
        </is>
      </c>
      <c r="C7" s="45" t="inlineStr">
        <is>
          <t>Priorité Must -&gt; Could (modèle prédictif du risque de retour)</t>
        </is>
      </c>
      <c r="D7" s="45" t="inlineStr">
        <is>
          <t>L'énoncé demande d'identifier les déterminants des retours (US19, US21) et des modèles prédictifs de ventes (US23), pas un modèle prédictif des retours</t>
        </is>
      </c>
      <c r="E7" s="45" t="inlineStr">
        <is>
          <t>À modifier</t>
        </is>
      </c>
    </row>
    <row r="8" ht="15" customHeight="1" s="41">
      <c r="A8" s="45" t="inlineStr">
        <is>
          <t>6 oct. 2026</t>
        </is>
      </c>
      <c r="B8" s="45" t="inlineStr">
        <is>
          <t>US30</t>
        </is>
      </c>
      <c r="C8" s="45" t="inlineStr">
        <is>
          <t>Priorité Must -&gt; Could (simulation de scénarios what-if)</t>
        </is>
      </c>
      <c r="D8" s="45" t="inlineStr">
        <is>
          <t>La stratégie d'optimisation demandée est couverte par US31</t>
        </is>
      </c>
      <c r="E8" s="45" t="inlineStr">
        <is>
          <t>À modifier</t>
        </is>
      </c>
    </row>
    <row r="9" ht="15" customHeight="1" s="41">
      <c r="A9" s="45" t="inlineStr">
        <is>
          <t>6 oct. 2026</t>
        </is>
      </c>
      <c r="B9" s="45" t="inlineStr">
        <is>
          <t>US32</t>
        </is>
      </c>
      <c r="C9" s="45" t="inlineStr">
        <is>
          <t>Priorité Must -&gt; Could (analyse de sensibilité et calendrier promotionnel)</t>
        </is>
      </c>
      <c r="D9" s="45" t="inlineStr">
        <is>
          <t>Les recommandations opérationnelles demandées sont couvertes par US26</t>
        </is>
      </c>
      <c r="E9" s="45" t="inlineStr">
        <is>
          <t>À modifier</t>
        </is>
      </c>
    </row>
    <row r="10" ht="15" customHeight="1" s="41">
      <c r="A10" s="45" t="inlineStr">
        <is>
          <t>6 oct. 2026</t>
        </is>
      </c>
      <c r="B10" s="45" t="inlineStr">
        <is>
          <t>US09</t>
        </is>
      </c>
      <c r="C10" s="45" t="inlineStr">
        <is>
          <t>Libellé : « tous les trimestres de ventes (6 fournis, puis 8) »</t>
        </is>
      </c>
      <c r="D10" s="45" t="inlineStr">
        <is>
          <t>Suite du changement de périmètre</t>
        </is>
      </c>
      <c r="E10" s="45" t="inlineStr">
        <is>
          <t>À modifier</t>
        </is>
      </c>
    </row>
    <row r="11" ht="23.25" customHeight="1" s="41">
      <c r="A11" s="45" t="inlineStr">
        <is>
          <t>6 oct. 2026</t>
        </is>
      </c>
      <c r="B11" s="45" t="inlineStr">
        <is>
          <t>Nettoyage</t>
        </is>
      </c>
      <c r="C11" s="45" t="inlineStr">
        <is>
          <t>Nouvelle règle N6 : quantité remisée ramenée à la quantité vendue sur 386 lignes. Aucun montant modifié : le chiffre d'affaires reste égal à celui du plan stratégique</t>
        </is>
      </c>
      <c r="D11" s="45" t="inlineStr">
        <is>
          <t>Anomalie apparue avec la catégorie Home Appliances ; démarche détaillée dans 03_diagnostic et dans le L3</t>
        </is>
      </c>
      <c r="E11" s="45" t="inlineStr">
        <is>
          <t>Sans objet</t>
        </is>
      </c>
    </row>
    <row r="12" ht="46.5" customHeight="1" s="41">
      <c r="A12" s="45" t="inlineStr">
        <is>
          <t>7 oct. 2026</t>
        </is>
      </c>
      <c r="B12" s="45" t="inlineStr">
        <is>
          <t>Orientation du projet</t>
        </is>
      </c>
      <c r="C12" s="45" t="inlineStr">
        <is>
          <t>Les deux premiers leviers de rentabilité sont le renouvellement du catalogue et la maîtrise des charges, et non les promotions et les retours. Les sprints 5 et 6 sont réorientés en conséquence.</t>
        </is>
      </c>
      <c r="D12" s="45" t="inlineStr">
        <is>
          <t>Résultats des notebooks 06 à 09 : catalogue en place −152 M$ en 2021, charges en hausse pendant que les ventes baissent, promotions sans effet mesuré sur les ventes, retours uniformes et peu coûteux</t>
        </is>
      </c>
      <c r="E12" s="45" t="inlineStr">
        <is>
          <t>Sans objet</t>
        </is>
      </c>
    </row>
    <row r="13" ht="46.5" customHeight="1" s="41">
      <c r="A13" s="45" t="inlineStr">
        <is>
          <t>7 oct. 2026</t>
        </is>
      </c>
      <c r="B13" s="45" t="inlineStr">
        <is>
          <t>Avancement</t>
        </is>
      </c>
      <c r="C13" s="45" t="inlineStr">
        <is>
          <t>67 tâches des sprints 1 à 5 passées à Terminé (préparation des données, Q1 à Q5, charges et publicité). Colonnes « Date de fin réelle » et « Commentaire » ajoutées dans l'onglet Tâches, colonnes de suivi ajoutées dans l'onglet Backlog.</t>
        </is>
      </c>
      <c r="D13" s="45" t="inlineStr">
        <is>
          <t>Travail réalisé les 6 et 7 octobre. Les sprints et les dates de remise ne changent pas</t>
        </is>
      </c>
      <c r="E13" s="45" t="inlineStr">
        <is>
          <t>À mettre à jour</t>
        </is>
      </c>
    </row>
    <row r="14" ht="33" customHeight="1" s="41">
      <c r="A14" s="45" t="inlineStr">
        <is>
          <t>7 oct. 2026</t>
        </is>
      </c>
      <c r="B14" s="45" t="inlineStr">
        <is>
          <t>US38 (nouvelle, Must)</t>
        </is>
      </c>
      <c r="C14" s="45" t="inlineStr">
        <is>
          <t>Expliquer la baisse du chiffre d'affaires de 2021 : 3 tâches T186 à T188, terminées</t>
        </is>
      </c>
      <c r="D14" s="45" t="inlineStr">
        <is>
          <t>Travail réalisé dans le notebook 06, à tracer dans le backlog. C'est le résultat central du projet</t>
        </is>
      </c>
      <c r="E14" s="45" t="inlineStr">
        <is>
          <t>À créer</t>
        </is>
      </c>
    </row>
    <row r="15" ht="23.25" customHeight="1" s="41">
      <c r="A15" s="45" t="inlineStr">
        <is>
          <t>7 oct. 2026</t>
        </is>
      </c>
      <c r="B15" s="45" t="inlineStr">
        <is>
          <t>US39 (nouvelle, Should)</t>
        </is>
      </c>
      <c r="C15" s="45" t="inlineStr">
        <is>
          <t>Leviers de rentabilité et leur gain annuel : 5 tâches T189 à T193, terminées</t>
        </is>
      </c>
      <c r="D15" s="45" t="inlineStr">
        <is>
          <t>Travail réalisé dans le notebook 06 (section 8), à tracer dans le backlog</t>
        </is>
      </c>
      <c r="E15" s="45" t="inlineStr">
        <is>
          <t>À créer</t>
        </is>
      </c>
    </row>
    <row r="16" ht="33" customHeight="1" s="41">
      <c r="A16" s="45" t="inlineStr">
        <is>
          <t>7 oct. 2026</t>
        </is>
      </c>
      <c r="B16" s="45" t="inlineStr">
        <is>
          <t>US22</t>
        </is>
      </c>
      <c r="C16" s="45" t="inlineStr">
        <is>
          <t>Tâche T194 ajoutée et terminée : comparaison des lignes remisées et non remisées par type de boutique</t>
        </is>
      </c>
      <c r="D16" s="45" t="inlineStr">
        <is>
          <t>Le résultat d'ensemble mélangeait deux réalités opposées : la remise est un pur coût en magasin, son effet est indéterminé en ligne et chez le revendeur</t>
        </is>
      </c>
      <c r="E16" s="45" t="inlineStr">
        <is>
          <t>À modifier</t>
        </is>
      </c>
    </row>
    <row r="17" ht="33" customHeight="1" s="41">
      <c r="A17" s="45" t="inlineStr">
        <is>
          <t>7 oct. 2026</t>
        </is>
      </c>
      <c r="B17" s="45" t="inlineStr">
        <is>
          <t>US28</t>
        </is>
      </c>
      <c r="C17" s="45" t="inlineStr">
        <is>
          <t>User story close sur un résultat négatif. T110 (interprétation SHAP) écartée</t>
        </is>
      </c>
      <c r="D17" s="45" t="inlineStr">
        <is>
          <t>La régression logistique ne prédit pas mieux que le hasard (AUC de 0,57) : les retours sont uniformes, aucun facteur ne les explique</t>
        </is>
      </c>
      <c r="E17" s="45" t="inlineStr">
        <is>
          <t>À modifier</t>
        </is>
      </c>
    </row>
    <row r="18" ht="33" customHeight="1" s="41">
      <c r="A18" s="45" t="inlineStr">
        <is>
          <t>7 oct. 2026</t>
        </is>
      </c>
      <c r="B18" s="45" t="inlineStr">
        <is>
          <t>US29</t>
        </is>
      </c>
      <c r="C18" s="45" t="inlineStr">
        <is>
          <t>Priorité Must -&gt; Won't (modèle de réponse aux promotions). Tâches T129 à T132 écartées</t>
        </is>
      </c>
      <c r="D18" s="45" t="inlineStr">
        <is>
          <t>Promotions générales et calées sur le calendrier, sans groupe témoin : un modèle de réponse n'apprendrait que la saison (notebooks 07 et 09)</t>
        </is>
      </c>
      <c r="E18" s="45" t="inlineStr">
        <is>
          <t>À modifier</t>
        </is>
      </c>
    </row>
    <row r="19" ht="33" customHeight="1" s="41">
      <c r="A19" s="45" t="inlineStr">
        <is>
          <t>7 oct. 2026</t>
        </is>
      </c>
      <c r="B19" s="45" t="inlineStr">
        <is>
          <t>US23</t>
        </is>
      </c>
      <c r="C19" s="45" t="inlineStr">
        <is>
          <t>Réorientée vers une prévision par l'âge du catalogue. T124 (SARIMA) écartée, T121, T125 et T128 relibellées, T195 à T197 ajoutées</t>
        </is>
      </c>
      <c r="D19" s="45" t="inlineStr">
        <is>
          <t>L'usure du catalogue explique la baisse de 2021. Avec 24 mois, un modèle saisonnier classique n'a que deux cycles pour apprendre</t>
        </is>
      </c>
      <c r="E19" s="45" t="inlineStr">
        <is>
          <t>À modifier</t>
        </is>
      </c>
    </row>
    <row r="20" ht="23.25" customHeight="1" s="41">
      <c r="A20" s="45" t="inlineStr">
        <is>
          <t>7 oct. 2026</t>
        </is>
      </c>
      <c r="B20" s="45" t="inlineStr">
        <is>
          <t>US40 (nouvelle, Should)</t>
        </is>
      </c>
      <c r="C20" s="45" t="inlineStr">
        <is>
          <t>Modèle des charges selon les ventes : 3 tâches T198 à T200</t>
        </is>
      </c>
      <c r="D20" s="45" t="inlineStr">
        <is>
          <t>Nécessaire pour simuler le résultat d'exploitation d'un scénario (US30)</t>
        </is>
      </c>
      <c r="E20" s="45" t="inlineStr">
        <is>
          <t>À créer</t>
        </is>
      </c>
    </row>
    <row r="21" ht="33" customHeight="1" s="41">
      <c r="A21" s="45" t="inlineStr">
        <is>
          <t>7 oct. 2026</t>
        </is>
      </c>
      <c r="B21" s="45" t="inlineStr">
        <is>
          <t>US41 (nouvelle, Could)</t>
        </is>
      </c>
      <c r="C21" s="45" t="inlineStr">
        <is>
          <t>Typologie des magasins : 3 tâches T201 à T203</t>
        </is>
      </c>
      <c r="D21" s="45" t="inlineStr">
        <is>
          <t>Question laissée ouverte par le notebook 06 : 8 magasins fonctionnent avec 21 % de frais généraux, les 46 autres avec 35 %</t>
        </is>
      </c>
      <c r="E21" s="45" t="inlineStr">
        <is>
          <t>À créer</t>
        </is>
      </c>
    </row>
    <row r="22" ht="46.5" customHeight="1" s="41">
      <c r="A22" s="45" t="inlineStr">
        <is>
          <t>7 oct. 2026</t>
        </is>
      </c>
      <c r="B22" s="45" t="inlineStr">
        <is>
          <t>US30</t>
        </is>
      </c>
      <c r="C22" s="45" t="inlineStr">
        <is>
          <t>Priorité Could -&gt; Must. Scénarios de rentabilité (catalogue, charges, publicité, remises en magasin) au lieu de scénarios de promotion. T133 à T135 et T137 relibellées</t>
        </is>
      </c>
      <c r="D22" s="45" t="inlineStr">
        <is>
          <t>La simulation porte désormais sur les leviers qui comptent. Elle devient le cœur de l'analyse prescriptive</t>
        </is>
      </c>
      <c r="E22" s="45" t="inlineStr">
        <is>
          <t>À modifier</t>
        </is>
      </c>
    </row>
    <row r="23" ht="33" customHeight="1" s="41">
      <c r="A23" s="45" t="inlineStr">
        <is>
          <t>7 oct. 2026</t>
        </is>
      </c>
      <c r="B23" s="45" t="inlineStr">
        <is>
          <t>US31</t>
        </is>
      </c>
      <c r="C23" s="45" t="inlineStr">
        <is>
          <t>Optimisation des priorités de renouvellement par sous-catégorie au lieu du taux de remise optimal par catégorie. T138 et T141 à T143 relibellées</t>
        </is>
      </c>
      <c r="D23" s="45" t="inlineStr">
        <is>
          <t>Le notebook 09 montre qu'aucun taux de remise ne maximise la marge. La stratégie d'optimisation demandée par l'énoncé est appliquée au premier levier</t>
        </is>
      </c>
      <c r="E23" s="45" t="inlineStr">
        <is>
          <t>À modifier</t>
        </is>
      </c>
    </row>
    <row r="24" ht="33" customHeight="1" s="41">
      <c r="A24" s="45" t="inlineStr">
        <is>
          <t>7 oct. 2026</t>
        </is>
      </c>
      <c r="B24" s="45" t="inlineStr">
        <is>
          <t>US32</t>
        </is>
      </c>
      <c r="C24" s="45" t="inlineStr">
        <is>
          <t>Priorité Could -&gt; Should. Plan d'essais des leviers incertains au lieu du plan promotionnel. T157 à T160 relibellées</t>
        </is>
      </c>
      <c r="D24" s="45" t="inlineStr">
        <is>
          <t>Plusieurs recommandations se terminent par « à tester » (publicité, remises en ligne) : il faut dire comment</t>
        </is>
      </c>
      <c r="E24" s="45" t="inlineStr">
        <is>
          <t>À modifier</t>
        </is>
      </c>
    </row>
    <row r="25" ht="33" customHeight="1" s="41">
      <c r="A25" s="45" t="inlineStr">
        <is>
          <t>7 oct. 2026</t>
        </is>
      </c>
      <c r="B25" s="45" t="inlineStr">
        <is>
          <t>US42 (nouvelle, Should)</t>
        </is>
      </c>
      <c r="C25" s="45" t="inlineStr">
        <is>
          <t>Application Streamlit reprenant les quatre pages du tableau de bord : 4 tâches T204 à T207. US24 (Power BI) passe de 5 à 4 pages, T146 et T147 relibellées</t>
        </is>
      </c>
      <c r="D25" s="45" t="inlineStr">
        <is>
          <t>Second mode de visualisation, en Python. Les pages produits, promotions et retours sont remplacées par les pages catalogue, magasins et charges</t>
        </is>
      </c>
      <c r="E25" s="45" t="inlineStr">
        <is>
          <t>À créer</t>
        </is>
      </c>
    </row>
    <row r="26" ht="33" customHeight="1" s="41">
      <c r="A26" s="45" t="inlineStr">
        <is>
          <t>7 oct. 2026</t>
        </is>
      </c>
      <c r="B26" s="45" t="inlineStr">
        <is>
          <t>US07</t>
        </is>
      </c>
      <c r="C26" s="45" t="inlineStr">
        <is>
          <t>Tâches T208 (mise à jour du backlog, terminée) et T209 (report dans Jira) ajoutées</t>
        </is>
      </c>
      <c r="D26" s="45" t="inlineStr">
        <is>
          <t>Traçabilité de la présente mise à jour</t>
        </is>
      </c>
      <c r="E26" s="45" t="inlineStr">
        <is>
          <t>À créer</t>
        </is>
      </c>
    </row>
    <row r="27" ht="46.5" customHeight="1" s="41">
      <c r="A27" s="45" t="inlineStr">
        <is>
          <t>7 oct. 2026</t>
        </is>
      </c>
      <c r="B27" s="45" t="inlineStr">
        <is>
          <t>Nettoyage</t>
        </is>
      </c>
      <c r="C27" s="45" t="inlineStr">
        <is>
          <t>Nouvelle règle N7 : l'effectif manquant d'un magasin (Contoso Cheshire Store) est imputé par la médiane des 12 magasins du même pays et de même surface, soit 29 employés. Indicateur effectif_impute ajouté. Tâches T210 et T211, terminées</t>
        </is>
      </c>
      <c r="D27" s="45" t="inlineStr">
        <is>
          <t>Le vide était toléré tant que l'effectif ne servait pas. La typologie des magasins en a besoin. La masse salariale ne permet pas de déduire l'effectif (notebook 05b)</t>
        </is>
      </c>
      <c r="E27" s="45" t="inlineStr">
        <is>
          <t>À créer</t>
        </is>
      </c>
    </row>
    <row r="28" ht="46.5" customHeight="1" s="41">
      <c r="A28" s="45" t="inlineStr">
        <is>
          <t>7 oct. 2026</t>
        </is>
      </c>
      <c r="B28" s="45" t="inlineStr">
        <is>
          <t>Limite des données</t>
        </is>
      </c>
      <c r="C28" s="45" t="inlineStr">
        <is>
          <t>L'effectif d'un magasin n'est cohérent ni avec ses charges de personnel, ni avec sa surface, ni avec ses ventes. Toute analyse du personnel portera sur les charges de personnel, pas sur le nombre d'employés</t>
        </is>
      </c>
      <c r="D28" s="45" t="inlineStr">
        <is>
          <t>Coût de personnel par employé de 5 300 $ à 51 900 $ par an selon le magasin, corrélation de rang de −0,08. La table des employés de Contoso n'a aucune clé vers une boutique</t>
        </is>
      </c>
      <c r="E28" s="45" t="inlineStr">
        <is>
          <t>Sans objet</t>
        </is>
      </c>
    </row>
    <row r="29" ht="33" customHeight="1" s="41">
      <c r="A29" s="45" t="inlineStr">
        <is>
          <t>7 oct. 2026</t>
        </is>
      </c>
      <c r="B29" s="45" t="inlineStr">
        <is>
          <t>US16 (livrable 3)</t>
        </is>
      </c>
      <c r="C29" s="45" t="inlineStr">
        <is>
          <t>Première version du rapport rédigée : T067, T082, T083 et T084 passent à « En revue »</t>
        </is>
      </c>
      <c r="D29" s="45" t="inlineStr">
        <is>
          <t>Rédaction en avance sur le sprint 3. Reste la relecture par l'équipe (T086)</t>
        </is>
      </c>
      <c r="E29" s="45" t="inlineStr">
        <is>
          <t>À modifier</t>
        </is>
      </c>
    </row>
    <row r="31" ht="113.4" customHeight="1" s="41">
      <c r="A31" s="77" t="inlineStr">
        <is>
          <t>Les documents remis le 5 octobre (L1, L2, présentation UA1) ne sont pas modifiés : cet onglet et le L3 expliquent les changements.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Yacine LEZOUL</dc:creator>
  <dc:language xmlns:dc="http://purl.org/dc/elements/1.1/">en-US</dc:language>
  <dcterms:created xmlns:dcterms="http://purl.org/dc/terms/" xmlns:xsi="http://www.w3.org/2001/XMLSchema-instance" xsi:type="dcterms:W3CDTF">2026-09-28T05:24:06Z</dcterms:created>
  <dcterms:modified xmlns:dcterms="http://purl.org/dc/terms/" xmlns:xsi="http://www.w3.org/2001/XMLSchema-instance" xsi:type="dcterms:W3CDTF">2026-10-09T01:09:31Z</dcterms:modified>
  <cp:lastModifiedBy>Yacine LEZOUL</cp:lastModifiedBy>
  <cp:revision>0</cp:revision>
</cp:coreProperties>
</file>