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rier" sheetId="1" state="visible" r:id="rId3"/>
    <sheet name="Gantt" sheetId="2" state="visible" r:id="rId4"/>
    <sheet name="Épopées" sheetId="3" state="visible" r:id="rId5"/>
    <sheet name="Backlog" sheetId="4" state="visible" r:id="rId6"/>
    <sheet name="Tâches" sheetId="5" state="visible" r:id="rId7"/>
    <sheet name="Changements" sheetId="6" state="visible" r:id="rId8"/>
  </sheets>
  <definedNames>
    <definedName function="false" hidden="true" localSheetId="3" name="_xlnm._FilterDatabase" vbProcedure="false">Backlog!$A$1:$I$38</definedName>
    <definedName function="false" hidden="true" localSheetId="4" name="_xlnm._FilterDatabase" vbProcedure="false">Tâches!$A$1:$J$186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8" authorId="0">
      <text>
        <r>
          <rPr>
            <sz val="10"/>
            <rFont val="Arial"/>
            <family val="2"/>
          </rPr>
          <t xml:space="preserve">Must -&gt; Could le 6 oct. 2026 : l'énoncé demande d'identifier les déterminants des retours (couvert par US19 et US21) et des modèles prédictifs de ventes (US23), pas un modèle prédictif des retours. À confirmer en équipe.</t>
        </r>
      </text>
    </comment>
    <comment ref="F30" authorId="0">
      <text>
        <r>
          <rPr>
            <sz val="10"/>
            <rFont val="Arial"/>
            <family val="2"/>
          </rPr>
          <t xml:space="preserve">Must -&gt; Could le 6 oct. 2026 : la stratégie d'optimisation demandée est couverte par US31 ; la simulation de scénarios est un complément. À confirmer en équipe.</t>
        </r>
      </text>
    </comment>
    <comment ref="F32" authorId="0">
      <text>
        <r>
          <rPr>
            <sz val="10"/>
            <rFont val="Arial"/>
            <family val="2"/>
          </rPr>
          <t xml:space="preserve">Must -&gt; Could le 6 oct. 2026 : les recommandations opérationnelles demandées sont dans US26 ; l'analyse de sensibilité et le calendrier promotionnel sont un approfondissement. À confirmer en équipe.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3" authorId="0">
      <text>
        <r>
          <rPr>
            <sz val="10"/>
            <rFont val="Arial"/>
            <family val="2"/>
          </rPr>
          <t xml:space="preserve">Tâche écartée : l'évaluation de FactInventory s'est avérée inutile. La démarque n'est pas mesurable avec les données disponibles ; elle est traitée comme un paramètre de la simulation (voir Hypothèses et limites du document L1).</t>
        </r>
      </text>
    </comment>
  </commentList>
</comments>
</file>

<file path=xl/sharedStrings.xml><?xml version="1.0" encoding="utf-8"?>
<sst xmlns="http://schemas.openxmlformats.org/spreadsheetml/2006/main" count="2156" uniqueCount="720">
  <si>
    <t xml:space="preserve">Projet 4 : Analyse des données de vente et retours</t>
  </si>
  <si>
    <t xml:space="preserve">Calendrier des sprints aligné sur les dates de remise communiquées par le professeur</t>
  </si>
  <si>
    <t xml:space="preserve">Sprint</t>
  </si>
  <si>
    <t xml:space="preserve">Début</t>
  </si>
  <si>
    <t xml:space="preserve">Fin</t>
  </si>
  <si>
    <t xml:space="preserve">Semaines</t>
  </si>
  <si>
    <t xml:space="preserve">Objectif du sprint</t>
  </si>
  <si>
    <t xml:space="preserve">Livrable remis</t>
  </si>
  <si>
    <t xml:space="preserve">Date de remise</t>
  </si>
  <si>
    <t xml:space="preserve">Poids dans la note</t>
  </si>
  <si>
    <t xml:space="preserve">Nb de tâches</t>
  </si>
  <si>
    <t xml:space="preserve">Charge estimée (h)</t>
  </si>
  <si>
    <t xml:space="preserve">Sprint 0</t>
  </si>
  <si>
    <t xml:space="preserve">21 sept. 2026</t>
  </si>
  <si>
    <t xml:space="preserve">4 oct. 2026</t>
  </si>
  <si>
    <t xml:space="preserve">Cadrage, collecte et recherche des données (dont tables de dimension), planification Scrum</t>
  </si>
  <si>
    <t xml:space="preserve">Livrables 1 et 2 : phases du projet et tâches granulaires + présentation PowerPoint UA1</t>
  </si>
  <si>
    <t xml:space="preserve">5 oct. 2026</t>
  </si>
  <si>
    <t xml:space="preserve">Sprint 1</t>
  </si>
  <si>
    <t xml:space="preserve">18 oct. 2026</t>
  </si>
  <si>
    <t xml:space="preserve">Consolidation des trimestres, modèle en flocon, pipeline ETL reproductible</t>
  </si>
  <si>
    <t xml:space="preserve">Sprint 2</t>
  </si>
  <si>
    <t xml:space="preserve">19 oct. 2026</t>
  </si>
  <si>
    <t xml:space="preserve">1 nov. 2026</t>
  </si>
  <si>
    <t xml:space="preserve">Diagnostic de qualité et nettoyage des données</t>
  </si>
  <si>
    <t xml:space="preserve">Sprint 3</t>
  </si>
  <si>
    <t xml:space="preserve">2 nov. 2026</t>
  </si>
  <si>
    <t xml:space="preserve">8 nov. 2026</t>
  </si>
  <si>
    <t xml:space="preserve">Transformation, variables dérivées, rapport de diagnostic</t>
  </si>
  <si>
    <t xml:space="preserve">Livrable 3 : diagnostic, nettoyage et transformation des données</t>
  </si>
  <si>
    <t xml:space="preserve">9 nov. 2026</t>
  </si>
  <si>
    <t xml:space="preserve">Sprint 4</t>
  </si>
  <si>
    <t xml:space="preserve">22 nov. 2026</t>
  </si>
  <si>
    <t xml:space="preserve">Analyse exploratoire Q1 à Q4, modèle prédictif des retours, tableau de bord Excel</t>
  </si>
  <si>
    <t xml:space="preserve">Sprint 5</t>
  </si>
  <si>
    <t xml:space="preserve">23 nov. 2026</t>
  </si>
  <si>
    <t xml:space="preserve">6 déc. 2026</t>
  </si>
  <si>
    <t xml:space="preserve">Q5, modèles prédictifs (ventes, réponse aux promotions), simulation et optimisation des remises, Power BI, rapport et présentation</t>
  </si>
  <si>
    <t xml:space="preserve">Livrable 4 : analyse exploratoire, rapport et présentation des conclusions</t>
  </si>
  <si>
    <t xml:space="preserve">7 déc. 2026</t>
  </si>
  <si>
    <t xml:space="preserve">Sprint 6</t>
  </si>
  <si>
    <t xml:space="preserve">13 déc. 2026</t>
  </si>
  <si>
    <t xml:space="preserve">Analyse de sensibilité, plan promotionnel recommandé, recommandations opérationnelles et rapport final</t>
  </si>
  <si>
    <t xml:space="preserve">Livrable 5 : rapport final avec recommandations opérationnelles</t>
  </si>
  <si>
    <t xml:space="preserve">14 déc. 2026</t>
  </si>
  <si>
    <t xml:space="preserve">Total</t>
  </si>
  <si>
    <t xml:space="preserve">Hypothèses :</t>
  </si>
  <si>
    <t xml:space="preserve">1. La présentation PowerPoint UA1 correspond au premier jalon (phases et tâches granulaires, remise du 5 octobre). À ajuster si l'UA1 a une autre date.</t>
  </si>
  <si>
    <t xml:space="preserve">2. Source vérifiée : les données fournies correspondent à FactSales de Contoso Retail DW (2008-2009, dates décalées de 12 ans). Utilisation des tables de dimension sous réserve de validation par le professeur. Les fichiers fournis couvrent 5 catégories de produits sur 8 et les trimestres 1 à 3. Depuis le 6 octobre, avec l'accord du professeur, le projet travaille sur les ventes complètes des 56 boutiques (8 catégories, 8 trimestres), extraites de Contoso.</t>
  </si>
  <si>
    <t xml:space="preserve">3. Les remises tombent un lundi : chaque sprint se termine le dimanche précédent.</t>
  </si>
  <si>
    <t xml:space="preserve">4. Outils : Python et ses bibliothèques pour l'ETL, l'analyse, la modélisation et l'optimisation, Excel (tableau de bord, Solveur) et Power BI (tableau de bord, what-if) pour la visualisation et la simulation, PowerPoint pour les présentations.</t>
  </si>
  <si>
    <t xml:space="preserve">Colonnes à remplir dans l'onglet Tâches (fond jaune) : Responsable et Statut.</t>
  </si>
  <si>
    <t xml:space="preserve">Diagramme de Gantt du projet</t>
  </si>
  <si>
    <t xml:space="preserve">Une colonne par semaine (du lundi au dimanche). Barres vertes : sprints. Barres claires : épopées actives pendant le sprint. Losange orange : remise d'un livrable.</t>
  </si>
  <si>
    <t xml:space="preserve">Élément</t>
  </si>
  <si>
    <t xml:space="preserve">Durée (sem.)</t>
  </si>
  <si>
    <t xml:space="preserve">Sem. 1
21 sept.</t>
  </si>
  <si>
    <t xml:space="preserve">Sem. 2
28 sept.</t>
  </si>
  <si>
    <t xml:space="preserve">Sem. 3
5 oct.</t>
  </si>
  <si>
    <t xml:space="preserve">Sem. 4
12 oct.</t>
  </si>
  <si>
    <t xml:space="preserve">Sem. 5
19 oct.</t>
  </si>
  <si>
    <t xml:space="preserve">Sem. 6
26 oct.</t>
  </si>
  <si>
    <t xml:space="preserve">Sem. 7
2 nov.</t>
  </si>
  <si>
    <t xml:space="preserve">Sem. 8
9 nov.</t>
  </si>
  <si>
    <t xml:space="preserve">Sem. 9
16 nov.</t>
  </si>
  <si>
    <t xml:space="preserve">Sem. 10
23 nov.</t>
  </si>
  <si>
    <t xml:space="preserve">Sem. 11
30 nov.</t>
  </si>
  <si>
    <t xml:space="preserve">Sem. 12
7 déc.</t>
  </si>
  <si>
    <t xml:space="preserve">Sem. 13
14 déc.</t>
  </si>
  <si>
    <t xml:space="preserve">SPRINTS</t>
  </si>
  <si>
    <t xml:space="preserve">Sprint 0 · Cadrage, collecte et recherche de données</t>
  </si>
  <si>
    <t xml:space="preserve">Sprint 1 · ETL, consolidation et modèle en flocon</t>
  </si>
  <si>
    <t xml:space="preserve">Sprint 2 · Diagnostic de qualité et nettoyage</t>
  </si>
  <si>
    <t xml:space="preserve">Sprint 3 · Transformation et rapport de diagnostic</t>
  </si>
  <si>
    <t xml:space="preserve">Sprint 4 · Analyse Q1 à Q4, risque de retour, Excel</t>
  </si>
  <si>
    <t xml:space="preserve">Sprint 5 · Q5, prédiction, simulation, optimisation, Power BI</t>
  </si>
  <si>
    <t xml:space="preserve">Sprint 6 · Plan promotionnel et rapport final</t>
  </si>
  <si>
    <t xml:space="preserve">ÉPOPÉES (sprints où l'épopée a des tâches)</t>
  </si>
  <si>
    <t xml:space="preserve">E0 Gestion de projet Scrum</t>
  </si>
  <si>
    <t xml:space="preserve">E1 Collecte et recherche de données</t>
  </si>
  <si>
    <t xml:space="preserve">E2 Intégration et modélisation (ETL)</t>
  </si>
  <si>
    <t xml:space="preserve">E3 Qualité et nettoyage</t>
  </si>
  <si>
    <t xml:space="preserve">E4 Transformation et variables dérivées</t>
  </si>
  <si>
    <t xml:space="preserve">E5 Analyse exploratoire (Q1 à Q5)</t>
  </si>
  <si>
    <t xml:space="preserve">E6 Modélisation prédictive</t>
  </si>
  <si>
    <t xml:space="preserve">E7 Tableaux de bord</t>
  </si>
  <si>
    <t xml:space="preserve">E8 Documentation et livrables</t>
  </si>
  <si>
    <t xml:space="preserve">E9 Analyse prescriptive</t>
  </si>
  <si>
    <t xml:space="preserve">LIVRABLES (remise le lundi)</t>
  </si>
  <si>
    <t xml:space="preserve">L1 et L2 + présentation UA1 (20 %)</t>
  </si>
  <si>
    <t xml:space="preserve">◆</t>
  </si>
  <si>
    <t xml:space="preserve">L3 · Diagnostic, nettoyage, transformation (25 %)</t>
  </si>
  <si>
    <t xml:space="preserve">L4 · Analyse, rapport et présentation (35 %)</t>
  </si>
  <si>
    <t xml:space="preserve">L5 · Rapport final (20 %)</t>
  </si>
  <si>
    <t xml:space="preserve">Action de grâce (férié)</t>
  </si>
  <si>
    <t xml:space="preserve">12 oct. 2026</t>
  </si>
  <si>
    <t xml:space="preserve">férié</t>
  </si>
  <si>
    <t xml:space="preserve">ID</t>
  </si>
  <si>
    <t xml:space="preserve">Épopée</t>
  </si>
  <si>
    <t xml:space="preserve">Objectif</t>
  </si>
  <si>
    <t xml:space="preserve">Nb de user stories</t>
  </si>
  <si>
    <t xml:space="preserve">E0</t>
  </si>
  <si>
    <t xml:space="preserve">Gestion de projet Scrum</t>
  </si>
  <si>
    <t xml:space="preserve">Organiser l'équipe, planifier et suivre les sprints</t>
  </si>
  <si>
    <t xml:space="preserve">E1</t>
  </si>
  <si>
    <t xml:space="preserve">Collecte et recherche de données</t>
  </si>
  <si>
    <t xml:space="preserve">Inventorier les données fournies, identifier les manques, collecter les tables de dimension et les données de contexte</t>
  </si>
  <si>
    <t xml:space="preserve">E2</t>
  </si>
  <si>
    <t xml:space="preserve">Intégration et modélisation (ETL)</t>
  </si>
  <si>
    <t xml:space="preserve">Consolider les trimestres et construire un modèle en flocon exploitable par Python, Excel et Power BI</t>
  </si>
  <si>
    <t xml:space="preserve">E3</t>
  </si>
  <si>
    <t xml:space="preserve">Qualité et nettoyage</t>
  </si>
  <si>
    <t xml:space="preserve">Diagnostiquer et corriger les anomalies</t>
  </si>
  <si>
    <t xml:space="preserve">E4</t>
  </si>
  <si>
    <t xml:space="preserve">Transformation et variables dérivées</t>
  </si>
  <si>
    <t xml:space="preserve">Créer les indicateurs de marge, de retour et de remise</t>
  </si>
  <si>
    <t xml:space="preserve">E5</t>
  </si>
  <si>
    <t xml:space="preserve">Analyse exploratoire (Q1 à Q5)</t>
  </si>
  <si>
    <t xml:space="preserve">Répondre aux questions de recherche en Python</t>
  </si>
  <si>
    <t xml:space="preserve">E6</t>
  </si>
  <si>
    <t xml:space="preserve">Modélisation prédictive</t>
  </si>
  <si>
    <t xml:space="preserve">Prévoir les ventes, le risque de retour et la réponse aux promotions</t>
  </si>
  <si>
    <t xml:space="preserve">E7</t>
  </si>
  <si>
    <t xml:space="preserve">Tableaux de bord</t>
  </si>
  <si>
    <t xml:space="preserve">Explorer d'autres modes de visualisation avec Excel et Power BI</t>
  </si>
  <si>
    <t xml:space="preserve">E8</t>
  </si>
  <si>
    <t xml:space="preserve">Documentation et livrables</t>
  </si>
  <si>
    <t xml:space="preserve">Rapports, présentations PowerPoint et remises</t>
  </si>
  <si>
    <t xml:space="preserve">E9</t>
  </si>
  <si>
    <t xml:space="preserve">Analyse prescriptive</t>
  </si>
  <si>
    <t xml:space="preserve">Simuler des scénarios de promotion et déterminer la politique de remise qui maximise la marge en valeur</t>
  </si>
  <si>
    <t xml:space="preserve">ID US</t>
  </si>
  <si>
    <t xml:space="preserve">User story</t>
  </si>
  <si>
    <t xml:space="preserve">Critère d'acceptation</t>
  </si>
  <si>
    <t xml:space="preserve">Priorité (MoSCoW)</t>
  </si>
  <si>
    <t xml:space="preserve">Points</t>
  </si>
  <si>
    <t xml:space="preserve">US01</t>
  </si>
  <si>
    <t xml:space="preserve">En tant qu'équipe, je veux un cadre Scrum et un espace de travail commun afin de coordonner le projet.</t>
  </si>
  <si>
    <t xml:space="preserve">Rôles attribués, projet Jira ou GitHub Projects créé, dépôt GitHub structuré, Definition of Done rédigée</t>
  </si>
  <si>
    <t xml:space="preserve">Must</t>
  </si>
  <si>
    <t xml:space="preserve">US02</t>
  </si>
  <si>
    <t xml:space="preserve">En tant qu'analyste, je veux inventorier les données fournies afin de connaître leur périmètre réel.</t>
  </si>
  <si>
    <t xml:space="preserve">Les 6 trimestres fournis sont chargés, décrits et un dictionnaire de données initial existe</t>
  </si>
  <si>
    <t xml:space="preserve">US03</t>
  </si>
  <si>
    <t xml:space="preserve">En tant qu'analyste, je veux identifier les données manquantes afin de mesurer leur impact sur les questions de recherche.</t>
  </si>
  <si>
    <t xml:space="preserve">Tableau des manques et de leur impact validé par l'équipe, demande envoyée au professeur</t>
  </si>
  <si>
    <t xml:space="preserve">US04</t>
  </si>
  <si>
    <t xml:space="preserve">En tant qu'analyste, je veux collecter les tables de dimension et le jeu de données complet afin d'enrichir l'analyse.</t>
  </si>
  <si>
    <t xml:space="preserve">Source vérifiée (FactSales de Contoso, décalage de 12 ans), arborescence des clés établie, 8 tables retenues et justifiées, correspondance des clés mesurée</t>
  </si>
  <si>
    <t xml:space="preserve">US05</t>
  </si>
  <si>
    <t xml:space="preserve">En tant qu'analyste, je veux collecter des données de contexte afin d'interpréter les tendances 2020 et 2021.</t>
  </si>
  <si>
    <t xml:space="preserve">Calendrier des jours fériés et périodes COVID-19 par pays disponibles et documentés</t>
  </si>
  <si>
    <t xml:space="preserve">Should</t>
  </si>
  <si>
    <t xml:space="preserve">US06</t>
  </si>
  <si>
    <t xml:space="preserve">En tant que Product Owner, je veux découper le projet en phases et jalons afin de respecter le calendrier du cours (Livrable 1).</t>
  </si>
  <si>
    <t xml:space="preserve">Phases, jalons et diagramme de Gantt alignés sur les dates de remise</t>
  </si>
  <si>
    <t xml:space="preserve">US07</t>
  </si>
  <si>
    <t xml:space="preserve">En tant que Product Owner, je veux un backlog de tâches granulaires, estimées et priorisées (Livrable 2).</t>
  </si>
  <si>
    <t xml:space="preserve">Toutes les tâches ont une estimation, une priorité, un sprint et un responsable, saisies dans l'outil</t>
  </si>
  <si>
    <t xml:space="preserve">US08</t>
  </si>
  <si>
    <t xml:space="preserve">En tant qu'équipe, je veux présenter le cadrage du projet (présentation UA1).</t>
  </si>
  <si>
    <t xml:space="preserve">Présentation PowerPoint remise et répétée, chaque membre a une partie</t>
  </si>
  <si>
    <t xml:space="preserve">US09</t>
  </si>
  <si>
    <t xml:space="preserve">En tant qu'analyste, je veux une table de faits unique consolidant tous les trimestres de ventes (6 fournis, puis 8 avec les ventes complètes).</t>
  </si>
  <si>
    <t xml:space="preserve">Nombre de lignes et totaux réconciliés avec les fichiers sources, aucun doublon non expliqué</t>
  </si>
  <si>
    <t xml:space="preserve">US10</t>
  </si>
  <si>
    <t xml:space="preserve">En tant qu'analyste, je veux un modèle en flocon afin d'analyser les ventes par boutique, produit, promotion et date.</t>
  </si>
  <si>
    <t xml:space="preserve">Schéma documenté, dimensions jointes, taux de correspondance des clés supérieur ou égal au seuil fixé</t>
  </si>
  <si>
    <t xml:space="preserve">US11</t>
  </si>
  <si>
    <t xml:space="preserve">En tant que membre de l'équipe, je veux un pipeline reproductible exécutable en une seule commande afin que chacun obtienne les mêmes résultats.</t>
  </si>
  <si>
    <t xml:space="preserve">run_pipeline.py exécute tous les notebooks dans l'ordre des dépendances (en parallèle quand ils sont indépendants), testé sur un poste vierge, README à jour</t>
  </si>
  <si>
    <t xml:space="preserve">US12</t>
  </si>
  <si>
    <t xml:space="preserve">En tant qu'analyste, je veux un diagnostic complet de la qualité des données.</t>
  </si>
  <si>
    <t xml:space="preserve">Rapport d'anomalies chiffré (manquants, incohérences, valeurs aberrantes)</t>
  </si>
  <si>
    <t xml:space="preserve">US13</t>
  </si>
  <si>
    <t xml:space="preserve">En tant qu'analyste, je veux des données nettoyées selon des règles documentées.</t>
  </si>
  <si>
    <t xml:space="preserve">Règles validées, journal avant/après, tests de qualité qui passent</t>
  </si>
  <si>
    <t xml:space="preserve">US14</t>
  </si>
  <si>
    <t xml:space="preserve">En tant qu'analyste, je veux des variables dérivées de marge, de retour et de remise.</t>
  </si>
  <si>
    <t xml:space="preserve">Variables calculées, définies dans le dictionnaire et contrôlées</t>
  </si>
  <si>
    <t xml:space="preserve">US15</t>
  </si>
  <si>
    <t xml:space="preserve">En tant qu'analyste, je veux des jeux agrégés prêts pour l'analyse et les tableaux de bord.</t>
  </si>
  <si>
    <t xml:space="preserve">Tables agrégées exportées et utilisables dans Python, Excel et Power BI</t>
  </si>
  <si>
    <t xml:space="preserve">US16</t>
  </si>
  <si>
    <t xml:space="preserve">En tant qu'équipe, je veux remettre le rapport de diagnostic, nettoyage et transformation (Livrable 3).</t>
  </si>
  <si>
    <t xml:space="preserve">Rapport relu et remis le 9 novembre</t>
  </si>
  <si>
    <t xml:space="preserve">US17</t>
  </si>
  <si>
    <t xml:space="preserve">En tant que décideur, je veux connaître les facteurs déterminants de la performance des ventes (Q1).</t>
  </si>
  <si>
    <t xml:space="preserve">Analyse par boutique, géographie, produit, catégorie et période avec synthèse écrite</t>
  </si>
  <si>
    <t xml:space="preserve">US18</t>
  </si>
  <si>
    <t xml:space="preserve">En tant que décideur, je veux mesurer l'effet des promotions sur le volume et la marge en valeur (Q2).</t>
  </si>
  <si>
    <t xml:space="preserve">Comparaison promo et hors promo testée statistiquement, synthèse écrite</t>
  </si>
  <si>
    <t xml:space="preserve">US19</t>
  </si>
  <si>
    <t xml:space="preserve">En tant que décideur, je veux identifier les patterns de retour de produits (Q3).</t>
  </si>
  <si>
    <t xml:space="preserve">Taux de retour standardisés par dimension, cas anormaux identifiés</t>
  </si>
  <si>
    <t xml:space="preserve">US20</t>
  </si>
  <si>
    <t xml:space="preserve">En tant qu'utilisateur métier, je veux un tableau de bord Excel interactif.</t>
  </si>
  <si>
    <t xml:space="preserve">Tableau de bord avec indicateurs clés et segments fonctionnels, testé par un autre membre</t>
  </si>
  <si>
    <t xml:space="preserve">US21</t>
  </si>
  <si>
    <t xml:space="preserve">En tant que décideur, je veux savoir si les remises sont liées au taux de retour (Q4).</t>
  </si>
  <si>
    <t xml:space="preserve">Corrélation mesurée et contrôlée par catégorie et période, synthèse écrite</t>
  </si>
  <si>
    <t xml:space="preserve">US22</t>
  </si>
  <si>
    <t xml:space="preserve">En tant que décideur, je veux identifier les niveaux de remise qui maximisent la marge en valeur (Q5).</t>
  </si>
  <si>
    <t xml:space="preserve">Marge en valeur par tranche de remise, seuils identifiés, recommandations chiffrées</t>
  </si>
  <si>
    <t xml:space="preserve">US23</t>
  </si>
  <si>
    <t xml:space="preserve">En tant que décideur, je veux un modèle de prévision des ventes.</t>
  </si>
  <si>
    <t xml:space="preserve">Modèle meilleur que la référence naïve sur la période de test, résultats interprétés</t>
  </si>
  <si>
    <t xml:space="preserve">US24</t>
  </si>
  <si>
    <t xml:space="preserve">En tant qu'utilisateur métier, je veux un tableau de bord Power BI multi-pages.</t>
  </si>
  <si>
    <t xml:space="preserve">Relations du modèle en flocon, mesures DAX validées, 5 pages avec filtres</t>
  </si>
  <si>
    <t xml:space="preserve">US25</t>
  </si>
  <si>
    <t xml:space="preserve">En tant qu'équipe, je veux remettre le rapport d'analyse et présenter nos conclusions (Livrable 4).</t>
  </si>
  <si>
    <t xml:space="preserve">Rapport remis et présentation PowerPoint répétée pour le 7 décembre</t>
  </si>
  <si>
    <t xml:space="preserve">US26</t>
  </si>
  <si>
    <t xml:space="preserve">En tant que décideur, je veux un rapport final avec des recommandations opérationnelles (Livrable 5).</t>
  </si>
  <si>
    <t xml:space="preserve">Recommandations priorisées par impact et faisabilité, rapport remis le 14 décembre</t>
  </si>
  <si>
    <t xml:space="preserve">US28</t>
  </si>
  <si>
    <t xml:space="preserve">En tant que décideur, je veux prédire le risque de retour d'une vente afin d'identifier les leviers qui le réduisent (Q3, Q4).</t>
  </si>
  <si>
    <t xml:space="preserve">Modèle évalué (AUC, rappel) meilleur qu'une référence simple, importance des variables interprétée</t>
  </si>
  <si>
    <t xml:space="preserve">Could</t>
  </si>
  <si>
    <t xml:space="preserve">US29</t>
  </si>
  <si>
    <t xml:space="preserve">En tant que décideur, je veux estimer le volume et la marge en valeur attendus selon le taux de remise, la catégorie, la boutique et la période (Q2, Q5).</t>
  </si>
  <si>
    <t xml:space="preserve">Modèle de réponse validé sur une période de test, uplift incrémental estimé par type de promotion</t>
  </si>
  <si>
    <t xml:space="preserve">US30</t>
  </si>
  <si>
    <t xml:space="preserve">En tant que décideur, je veux simuler des scénarios de promotion (what-if) afin de comparer leur impact avant de les lancer.</t>
  </si>
  <si>
    <t xml:space="preserve">Au moins 6 scénarios simulés (volume, CA, marge nette des retours), page what-if Power BI fonctionnelle</t>
  </si>
  <si>
    <t xml:space="preserve">US31</t>
  </si>
  <si>
    <t xml:space="preserve">En tant que décideur, je veux connaître le taux de remise optimal par catégorie qui maximise la marge en valeur sous contraintes (Q5).</t>
  </si>
  <si>
    <t xml:space="preserve">Problème d'optimisation formulé et résolu en Python et avec le Solveur Excel, gain attendu chiffré vs politique actuelle</t>
  </si>
  <si>
    <t xml:space="preserve">US32</t>
  </si>
  <si>
    <t xml:space="preserve">En tant que décideur, je veux un plan promotionnel recommandé, robuste aux hypothèses, avec ses gains attendus.</t>
  </si>
  <si>
    <t xml:space="preserve">Analyse de sensibilité réalisée, calendrier promotionnel et prévision des ventes du plan recommandé intégrés au rapport final</t>
  </si>
  <si>
    <t xml:space="preserve">US33</t>
  </si>
  <si>
    <t xml:space="preserve">En tant que membre de l'équipe, je veux une structure de dépôt et des conventions communes afin de travailler à six sans conflit.</t>
  </si>
  <si>
    <t xml:space="preserve">Arborescence créée, 16 notebooks numérotés avec un responsable chacun, environnement et nbstripout configurés</t>
  </si>
  <si>
    <t xml:space="preserve">US27</t>
  </si>
  <si>
    <t xml:space="preserve">En tant qu'équipe, je veux des cérémonies Scrum régulières afin de nous améliorer en continu.</t>
  </si>
  <si>
    <t xml:space="preserve">Tous</t>
  </si>
  <si>
    <t xml:space="preserve">Planification, revue et rétrospective tenues et consignées à chaque sprint</t>
  </si>
  <si>
    <t xml:space="preserve">US34</t>
  </si>
  <si>
    <t xml:space="preserve">En tant qu'analyste, je veux étendre les ventes au périmètre complet de nos boutiques (8 catégories, 8 trimestres) afin d'analyser toute l'activité et de la rapprocher des charges.</t>
  </si>
  <si>
    <t xml:space="preserve">376 234 lignes extraites au format des fichiers fournis, lignes du professeur retrouvées à l'identique, totaux égaux au plan stratégique, notebooks 00 à 05 relancés, changement justifié dans 00_inventaire</t>
  </si>
  <si>
    <t xml:space="preserve">US35</t>
  </si>
  <si>
    <t xml:space="preserve">En tant que décideur, je veux connaître la rentabilité nette de chaque boutique (marge moins charges d'exploitation) et son écart au budget (Q1).</t>
  </si>
  <si>
    <t xml:space="preserve">Charges du plan stratégique jointes aux ventes par boutique et par mois, rapprochement contrôlé, rentabilité nette et écart réel / budget par boutique, synthèse écrite</t>
  </si>
  <si>
    <t xml:space="preserve">US36</t>
  </si>
  <si>
    <t xml:space="preserve">En tant que décideur, je veux comparer les dépenses de publicité aux remises et aux ventes en promotion (Q2, Q5).</t>
  </si>
  <si>
    <t xml:space="preserve">Dépenses de publicité par boutique et par mois rapprochées des remises accordées et des ventes en promotion, synthèse écrite</t>
  </si>
  <si>
    <t xml:space="preserve">US37</t>
  </si>
  <si>
    <t xml:space="preserve">En tant qu'analyste, je veux exploiter le détail des ventes en ligne (FactOnlineSales) afin de comprendre comment les remises sont appliquées (Q2).</t>
  </si>
  <si>
    <t xml:space="preserve">Agrégat mensuel du détail en ligne comparé aux ventes consolidées de la boutique en ligne, écart de remise expliqué, limite au seul canal en ligne écrite</t>
  </si>
  <si>
    <t xml:space="preserve">Points : suite de Fibonacci (1, 2, 3, 5, 8). MoSCoW : Must = indispensable, Should = important, Could = souhaitable.</t>
  </si>
  <si>
    <t xml:space="preserve">ID tâche</t>
  </si>
  <si>
    <t xml:space="preserve">Tâche</t>
  </si>
  <si>
    <t xml:space="preserve">Outil</t>
  </si>
  <si>
    <t xml:space="preserve">Estimation (h)</t>
  </si>
  <si>
    <t xml:space="preserve">Responsable</t>
  </si>
  <si>
    <t xml:space="preserve">Statut</t>
  </si>
  <si>
    <t xml:space="preserve">Date de fin prévue</t>
  </si>
  <si>
    <t xml:space="preserve">T001</t>
  </si>
  <si>
    <t xml:space="preserve">Définir les rôles : Product Owner, Scrum Master, développeurs</t>
  </si>
  <si>
    <t xml:space="preserve">Réunion</t>
  </si>
  <si>
    <t xml:space="preserve">Toute l'équipe</t>
  </si>
  <si>
    <t xml:space="preserve">Terminé</t>
  </si>
  <si>
    <t xml:space="preserve">T002</t>
  </si>
  <si>
    <t xml:space="preserve">Créer le projet dans Jira ou GitHub Projects et inviter l'équipe</t>
  </si>
  <si>
    <t xml:space="preserve">Jira / GitHub Projects</t>
  </si>
  <si>
    <t xml:space="preserve">Achraf</t>
  </si>
  <si>
    <t xml:space="preserve">T003</t>
  </si>
  <si>
    <t xml:space="preserve">Rédiger la Definition of Done et les conventions (nommage, branches, notebooks)</t>
  </si>
  <si>
    <t xml:space="preserve">Word / GitHub</t>
  </si>
  <si>
    <t xml:space="preserve">T004</t>
  </si>
  <si>
    <t xml:space="preserve">Définir l'arborescence du dépôt (data : raw, interim, clean, outputs ; notebooks par phase ; src ; tests ; dashboards ; reports)</t>
  </si>
  <si>
    <t xml:space="preserve">GitHub</t>
  </si>
  <si>
    <t xml:space="preserve">Jean Robert</t>
  </si>
  <si>
    <t xml:space="preserve">T005</t>
  </si>
  <si>
    <t xml:space="preserve">Créer les squelettes des 16 notebooks numérotés (00 à 15) avec leurs sections et un responsable par notebook</t>
  </si>
  <si>
    <t xml:space="preserve">Jupyter</t>
  </si>
  <si>
    <t xml:space="preserve">T006</t>
  </si>
  <si>
    <t xml:space="preserve">Configurer l'environnement (.venv, requirements.txt, config.py, .gitignore, README)</t>
  </si>
  <si>
    <t xml:space="preserve">Python / Git</t>
  </si>
  <si>
    <t xml:space="preserve">T007</t>
  </si>
  <si>
    <t xml:space="preserve">Créer la charte graphique commune (src/viz.py : couleurs, police, format des montants, enregistrement des figures)</t>
  </si>
  <si>
    <t xml:space="preserve">Python (matplotlib)</t>
  </si>
  <si>
    <t xml:space="preserve">T008</t>
  </si>
  <si>
    <t xml:space="preserve">Charger chaque fichier trimestriel et relever lignes, colonnes, types et période couverte (00_inventaire)</t>
  </si>
  <si>
    <t xml:space="preserve">Python (pandas)</t>
  </si>
  <si>
    <t xml:space="preserve">T009</t>
  </si>
  <si>
    <t xml:space="preserve">Vérifier la présence des 8 trimestres 2020 et 2021 et la continuité des dates (6 présents : T4 2020 et 2021 absents)</t>
  </si>
  <si>
    <t xml:space="preserve">T010</t>
  </si>
  <si>
    <t xml:space="preserve">Rédiger le dictionnaire de données initial des 14 variables (dictionnaire_donnees.xlsx)</t>
  </si>
  <si>
    <t xml:space="preserve">Excel</t>
  </si>
  <si>
    <t xml:space="preserve">Barnabé</t>
  </si>
  <si>
    <t xml:space="preserve">T011</t>
  </si>
  <si>
    <t xml:space="preserve">Lister les dimensions et informations manquantes (boutique, produit, promotion, client, retours, stocks, charges)</t>
  </si>
  <si>
    <t xml:space="preserve">T012</t>
  </si>
  <si>
    <t xml:space="preserve">Évaluer l'impact de chaque manque sur les questions Q1 à Q5</t>
  </si>
  <si>
    <t xml:space="preserve">T013</t>
  </si>
  <si>
    <t xml:space="preserve">Envoyer la demande au professeur sur les tables de dimension</t>
  </si>
  <si>
    <t xml:space="preserve">Courriel</t>
  </si>
  <si>
    <t xml:space="preserve">Yacine</t>
  </si>
  <si>
    <t xml:space="preserve">T014</t>
  </si>
  <si>
    <t xml:space="preserve">Rechercher et télécharger la base Contoso Retail DW (Microsoft, ContosoBIdemoBAK)</t>
  </si>
  <si>
    <t xml:space="preserve">Web</t>
  </si>
  <si>
    <t xml:space="preserve">T015</t>
  </si>
  <si>
    <t xml:space="preserve">Restaurer la base ContosoRetailDW (.bak) dans SQL Server Express</t>
  </si>
  <si>
    <t xml:space="preserve">SQL Server / SSMS</t>
  </si>
  <si>
    <t xml:space="preserve">T016</t>
  </si>
  <si>
    <t xml:space="preserve">Connecter Python à SQL Server (pyodbc, SQLAlchemy) et extraire les tables en CSV (colonnes géographiques converties en texte)</t>
  </si>
  <si>
    <t xml:space="preserve">Python (pandas, pyodbc)</t>
  </si>
  <si>
    <t xml:space="preserve">T017</t>
  </si>
  <si>
    <t xml:space="preserve">Vérifier l'origine des données : IdVente retrouvés dans FactSales (IdVente = SalesKey), décalage des dates mesuré (12 ans)</t>
  </si>
  <si>
    <t xml:space="preserve">Python / SQL</t>
  </si>
  <si>
    <t xml:space="preserve">T018</t>
  </si>
  <si>
    <t xml:space="preserve">Analyser les clés étrangères de la base (sys.foreign_keys) et construire l'arborescence des jointures</t>
  </si>
  <si>
    <t xml:space="preserve">SQL</t>
  </si>
  <si>
    <t xml:space="preserve">T019</t>
  </si>
  <si>
    <t xml:space="preserve">Sélectionner les tables utiles (8 sur 17) et justifier la sélection par les questions Q1 à Q5</t>
  </si>
  <si>
    <t xml:space="preserve">Réunion / Word</t>
  </si>
  <si>
    <t xml:space="preserve">T020</t>
  </si>
  <si>
    <t xml:space="preserve">Récupérer le canal et la devise de chaque vente depuis FactSales (3 canaux, 1 seule devise)</t>
  </si>
  <si>
    <t xml:space="preserve">T021</t>
  </si>
  <si>
    <t xml:space="preserve">Mesurer le taux de correspondance des clés sur toutes les lignes des fichiers de ventes (100 %)</t>
  </si>
  <si>
    <t xml:space="preserve">Lamoussa</t>
  </si>
  <si>
    <t xml:space="preserve">T022</t>
  </si>
  <si>
    <t xml:space="preserve">Évaluer FactInventory (stocks) comme source complémentaire pour la démarque</t>
  </si>
  <si>
    <t xml:space="preserve">Écartée</t>
  </si>
  <si>
    <t xml:space="preserve">T023</t>
  </si>
  <si>
    <t xml:space="preserve">Documenter les sources, versions, conditions d'utilisation et la démarche de collecte</t>
  </si>
  <si>
    <t xml:space="preserve">Word</t>
  </si>
  <si>
    <t xml:space="preserve">Mouncif</t>
  </si>
  <si>
    <t xml:space="preserve">En cours</t>
  </si>
  <si>
    <t xml:space="preserve">T024</t>
  </si>
  <si>
    <t xml:space="preserve">Collecter les jours fériés 2020 et 2021 des pays des boutiques</t>
  </si>
  <si>
    <t xml:space="preserve">Web / Python</t>
  </si>
  <si>
    <t xml:space="preserve">T025</t>
  </si>
  <si>
    <t xml:space="preserve">Collecter les périodes de confinement COVID-19 par pays</t>
  </si>
  <si>
    <t xml:space="preserve">T026</t>
  </si>
  <si>
    <t xml:space="preserve">Définir les phases et jalons du projet</t>
  </si>
  <si>
    <t xml:space="preserve">T027</t>
  </si>
  <si>
    <t xml:space="preserve">Construire le diagramme de Gantt</t>
  </si>
  <si>
    <t xml:space="preserve">T028</t>
  </si>
  <si>
    <t xml:space="preserve">Rédiger les épopées et user stories avec critères d'acceptation</t>
  </si>
  <si>
    <t xml:space="preserve">T029</t>
  </si>
  <si>
    <t xml:space="preserve">Découper chaque user story en tâches granulaires et estimer en heures</t>
  </si>
  <si>
    <t xml:space="preserve">T030</t>
  </si>
  <si>
    <t xml:space="preserve">Prioriser (MoSCoW), affecter les tâches aux sprints et aux membres</t>
  </si>
  <si>
    <t xml:space="preserve">T031</t>
  </si>
  <si>
    <t xml:space="preserve">Saisir le backlog dans Jira ou GitHub Projects</t>
  </si>
  <si>
    <t xml:space="preserve">T032</t>
  </si>
  <si>
    <t xml:space="preserve">Construire le plan de la présentation UA1</t>
  </si>
  <si>
    <t xml:space="preserve">PowerPoint</t>
  </si>
  <si>
    <t xml:space="preserve">T033</t>
  </si>
  <si>
    <t xml:space="preserve">Diapositives : contexte, problématique et questions de recherche</t>
  </si>
  <si>
    <t xml:space="preserve">T034</t>
  </si>
  <si>
    <t xml:space="preserve">Diapositives : données, manques identifiés et stratégie de collecte</t>
  </si>
  <si>
    <t xml:space="preserve">T035</t>
  </si>
  <si>
    <t xml:space="preserve">Diapositives : phases, backlog, sprints et outils</t>
  </si>
  <si>
    <t xml:space="preserve">T036</t>
  </si>
  <si>
    <t xml:space="preserve">Répétition chronométrée et répartition des prises de parole</t>
  </si>
  <si>
    <t xml:space="preserve">À faire</t>
  </si>
  <si>
    <t xml:space="preserve">T037</t>
  </si>
  <si>
    <t xml:space="preserve">Sprint 0 : planification, revue et rétrospective</t>
  </si>
  <si>
    <t xml:space="preserve">T038</t>
  </si>
  <si>
    <t xml:space="preserve">Écrire le script de chargement des fichiers de ventes (data/raw/contoso/Sales)</t>
  </si>
  <si>
    <t xml:space="preserve">T039</t>
  </si>
  <si>
    <t xml:space="preserve">Harmoniser noms de colonnes, types et dates, convertir les montants texte (« $1,062.60 ») en nombres</t>
  </si>
  <si>
    <t xml:space="preserve">T040</t>
  </si>
  <si>
    <t xml:space="preserve">Concaténer les trimestres avec une colonne source (année, trimestre)</t>
  </si>
  <si>
    <t xml:space="preserve">T041</t>
  </si>
  <si>
    <t xml:space="preserve">Contrôler les doublons d'IdVente entre trimestres</t>
  </si>
  <si>
    <t xml:space="preserve">T042</t>
  </si>
  <si>
    <t xml:space="preserve">Réconcilier lignes et totaux (ventes, coûts, retours) avant et après consolidation</t>
  </si>
  <si>
    <t xml:space="preserve">T043</t>
  </si>
  <si>
    <t xml:space="preserve">Concevoir le schéma en flocon (faits ventes, boutique → géographie, produit → sous-catégorie → catégorie, promotion, date, canal, devise)</t>
  </si>
  <si>
    <t xml:space="preserve">draw.io / Power BI</t>
  </si>
  <si>
    <t xml:space="preserve">T044</t>
  </si>
  <si>
    <t xml:space="preserve">Réaligner les dates des dimensions sur nos données (+12 ans : promotions, ouverture et fermeture des boutiques, produits)</t>
  </si>
  <si>
    <t xml:space="preserve">T045</t>
  </si>
  <si>
    <t xml:space="preserve">Joindre le canal et la devise récupérés depuis FactSales</t>
  </si>
  <si>
    <t xml:space="preserve">T046</t>
  </si>
  <si>
    <t xml:space="preserve">Construire la dimension date (jour, semaine, mois, trimestre, jour férié, période COVID)</t>
  </si>
  <si>
    <t xml:space="preserve">T047</t>
  </si>
  <si>
    <t xml:space="preserve">Aplatir la hiérarchie produit (produit, sous-catégorie, catégorie) et géographie (ville, région, pays)</t>
  </si>
  <si>
    <t xml:space="preserve">T048</t>
  </si>
  <si>
    <t xml:space="preserve">Joindre les dimensions à la table de faits et mesurer le taux de correspondance</t>
  </si>
  <si>
    <t xml:space="preserve">T049</t>
  </si>
  <si>
    <t xml:space="preserve">Traiter les clés sans correspondance (membre « Inconnu ») et documenter</t>
  </si>
  <si>
    <t xml:space="preserve">T050</t>
  </si>
  <si>
    <t xml:space="preserve">Exporter les tables consolidées et jointes dans data/interim (Parquet et CSV)</t>
  </si>
  <si>
    <t xml:space="preserve">T051</t>
  </si>
  <si>
    <t xml:space="preserve">Factoriser le code partagé dans src/ (config, etl, qualite, features, modeles, viz)</t>
  </si>
  <si>
    <t xml:space="preserve">Python</t>
  </si>
  <si>
    <t xml:space="preserve">T052</t>
  </si>
  <si>
    <t xml:space="preserve">Écrire run_pipeline.py (papermill : ordre des dépendances, exécution parallèle des notebooks indépendants, copies exécutées)</t>
  </si>
  <si>
    <t xml:space="preserve">Python (papermill)</t>
  </si>
  <si>
    <t xml:space="preserve">T053</t>
  </si>
  <si>
    <t xml:space="preserve">Tester l'exécution complète sur un poste vierge</t>
  </si>
  <si>
    <t xml:space="preserve">T054</t>
  </si>
  <si>
    <t xml:space="preserve">Rédiger le README d'exécution du pipeline</t>
  </si>
  <si>
    <t xml:space="preserve">T055</t>
  </si>
  <si>
    <t xml:space="preserve">Revue de code croisée du pipeline</t>
  </si>
  <si>
    <t xml:space="preserve">T056</t>
  </si>
  <si>
    <t xml:space="preserve">Sprint 1 : planification, revue et rétrospective</t>
  </si>
  <si>
    <t xml:space="preserve">T057</t>
  </si>
  <si>
    <t xml:space="preserve">Mesurer le taux de valeurs manquantes par variable</t>
  </si>
  <si>
    <t xml:space="preserve">T058</t>
  </si>
  <si>
    <t xml:space="preserve">Détecter les valeurs nulles ou négatives (quantités, prix, coûts, montants)</t>
  </si>
  <si>
    <t xml:space="preserve">T059</t>
  </si>
  <si>
    <t xml:space="preserve">Contrôler : Montant des ventes = Prix unitaire × Quantité − Remise</t>
  </si>
  <si>
    <t xml:space="preserve">T060</t>
  </si>
  <si>
    <t xml:space="preserve">Contrôler : Coût total = Coût unitaire × Quantité</t>
  </si>
  <si>
    <t xml:space="preserve">T061</t>
  </si>
  <si>
    <t xml:space="preserve">Contrôler : quantités et montants de retour inférieurs ou égaux aux ventes</t>
  </si>
  <si>
    <t xml:space="preserve">T062</t>
  </si>
  <si>
    <t xml:space="preserve">Contrôler : Quantité de remise inférieure ou égale à la Quantité de vente</t>
  </si>
  <si>
    <t xml:space="preserve">T063</t>
  </si>
  <si>
    <t xml:space="preserve">Contrôler la cohérence promotion et remise (promo sans remise, remise sans promo)</t>
  </si>
  <si>
    <t xml:space="preserve">T064</t>
  </si>
  <si>
    <t xml:space="preserve">Contrôler les ventes hors dates de promotion ou pendant la fermeture d'une boutique</t>
  </si>
  <si>
    <t xml:space="preserve">T065</t>
  </si>
  <si>
    <t xml:space="preserve">Comparer prix et coûts unitaires des transactions avec ceux de DimProduct</t>
  </si>
  <si>
    <t xml:space="preserve">T066</t>
  </si>
  <si>
    <t xml:space="preserve">Détecter les valeurs aberrantes (IQR, z-score) et les visualiser</t>
  </si>
  <si>
    <t xml:space="preserve">Python (seaborn)</t>
  </si>
  <si>
    <t xml:space="preserve">T067</t>
  </si>
  <si>
    <t xml:space="preserve">Rédiger la synthèse chiffrée des anomalies</t>
  </si>
  <si>
    <t xml:space="preserve">T068</t>
  </si>
  <si>
    <t xml:space="preserve">Définir et faire valider les règles de traitement (supprimer, corriger, imputer, signaler)</t>
  </si>
  <si>
    <t xml:space="preserve">T069</t>
  </si>
  <si>
    <t xml:space="preserve">Appliquer les règles de nettoyage dans le pipeline (data/interim → data/clean)</t>
  </si>
  <si>
    <t xml:space="preserve">T070</t>
  </si>
  <si>
    <t xml:space="preserve">Produire le journal de nettoyage (avant et après, lignes touchées)</t>
  </si>
  <si>
    <t xml:space="preserve">T071</t>
  </si>
  <si>
    <t xml:space="preserve">Écrire des tests de qualité automatisés (assertions)</t>
  </si>
  <si>
    <t xml:space="preserve">Python (pytest)</t>
  </si>
  <si>
    <t xml:space="preserve">T072</t>
  </si>
  <si>
    <t xml:space="preserve">Sprint 2 : planification, revue et rétrospective</t>
  </si>
  <si>
    <t xml:space="preserve">T073</t>
  </si>
  <si>
    <t xml:space="preserve">Calculer la marge brute en valeur (Montant des ventes − Coût total)</t>
  </si>
  <si>
    <t xml:space="preserve">T074</t>
  </si>
  <si>
    <t xml:space="preserve">Calculer les ventes nettes (Montant des ventes − Montant du retour) et la marge après retours (hypothèse documentée)</t>
  </si>
  <si>
    <t xml:space="preserve">T075</t>
  </si>
  <si>
    <t xml:space="preserve">Calculer le taux de retour (Quantité de retour / Quantité de vente)</t>
  </si>
  <si>
    <t xml:space="preserve">T076</t>
  </si>
  <si>
    <t xml:space="preserve">Calculer le taux de remise effectif et les tranches de remise</t>
  </si>
  <si>
    <t xml:space="preserve">T077</t>
  </si>
  <si>
    <t xml:space="preserve">Créer l'indicateur promotion et les variables issues de DimPromotion (type, catégorie, % annoncé)</t>
  </si>
  <si>
    <t xml:space="preserve">T078</t>
  </si>
  <si>
    <t xml:space="preserve">Mettre à jour le dictionnaire de données avec les variables dérivées</t>
  </si>
  <si>
    <t xml:space="preserve">T079</t>
  </si>
  <si>
    <t xml:space="preserve">Construire les agrégats par boutique, produit, promotion et période (data/clean/agregats)</t>
  </si>
  <si>
    <t xml:space="preserve">T080</t>
  </si>
  <si>
    <t xml:space="preserve">Construire les séries hebdomadaires pour la prévision</t>
  </si>
  <si>
    <t xml:space="preserve">T081</t>
  </si>
  <si>
    <t xml:space="preserve">Standardiser les indicateurs de comparaison (par transaction, par jour de promotion, par m²)</t>
  </si>
  <si>
    <t xml:space="preserve">T082</t>
  </si>
  <si>
    <t xml:space="preserve">Rédiger : sources, collecte et modèle de données</t>
  </si>
  <si>
    <t xml:space="preserve">T083</t>
  </si>
  <si>
    <t xml:space="preserve">Rédiger : diagnostic, règles de nettoyage et transformations</t>
  </si>
  <si>
    <t xml:space="preserve">T084</t>
  </si>
  <si>
    <t xml:space="preserve">Rédiger : limites et hypothèses</t>
  </si>
  <si>
    <t xml:space="preserve">T085</t>
  </si>
  <si>
    <t xml:space="preserve">Produire les visuels de qualité des données</t>
  </si>
  <si>
    <t xml:space="preserve">T086</t>
  </si>
  <si>
    <t xml:space="preserve">Relecture croisée, mise en page et remise (9 nov.)</t>
  </si>
  <si>
    <t xml:space="preserve">T087</t>
  </si>
  <si>
    <t xml:space="preserve">Sprint 3 : planification, revue et rétrospective</t>
  </si>
  <si>
    <t xml:space="preserve">T088</t>
  </si>
  <si>
    <t xml:space="preserve">Chiffre d'affaires et marge en valeur par boutique, type de boutique et pays</t>
  </si>
  <si>
    <t xml:space="preserve">Python (pandas, plotly)</t>
  </si>
  <si>
    <t xml:space="preserve">T089</t>
  </si>
  <si>
    <t xml:space="preserve">Ventes par surface et par employé (productivité des boutiques)</t>
  </si>
  <si>
    <t xml:space="preserve">T090</t>
  </si>
  <si>
    <t xml:space="preserve">Chiffre d'affaires et marge par catégorie, sous-catégorie et marque</t>
  </si>
  <si>
    <t xml:space="preserve">Python (pandas, seaborn)</t>
  </si>
  <si>
    <t xml:space="preserve">T091</t>
  </si>
  <si>
    <t xml:space="preserve">Analyse de Pareto (80/20) des produits et des boutiques</t>
  </si>
  <si>
    <t xml:space="preserve">T092</t>
  </si>
  <si>
    <t xml:space="preserve">Tendances, saisonnalité et effet COVID-19</t>
  </si>
  <si>
    <t xml:space="preserve">Python (statsmodels)</t>
  </si>
  <si>
    <t xml:space="preserve">T093</t>
  </si>
  <si>
    <t xml:space="preserve">Décomposition de la variance ou ANOVA des facteurs boutique, produit, promotion</t>
  </si>
  <si>
    <t xml:space="preserve">Python (scipy, statsmodels)</t>
  </si>
  <si>
    <t xml:space="preserve">T094</t>
  </si>
  <si>
    <t xml:space="preserve">Rédiger la synthèse Q1</t>
  </si>
  <si>
    <t xml:space="preserve">Jean Robert et Barnabé</t>
  </si>
  <si>
    <t xml:space="preserve">T095</t>
  </si>
  <si>
    <t xml:space="preserve">Comparer volume, panier et marge en valeur, promo et hors promo</t>
  </si>
  <si>
    <t xml:space="preserve">T096</t>
  </si>
  <si>
    <t xml:space="preserve">Comparer par type et catégorie de promotion</t>
  </si>
  <si>
    <t xml:space="preserve">T097</t>
  </si>
  <si>
    <t xml:space="preserve">Mesurer l'effet avant, pendant et après chaque promotion (uplift)</t>
  </si>
  <si>
    <t xml:space="preserve">T098</t>
  </si>
  <si>
    <t xml:space="preserve">Tester statistiquement les écarts (Mann-Whitney, Kruskal-Wallis)</t>
  </si>
  <si>
    <t xml:space="preserve">Python (scipy)</t>
  </si>
  <si>
    <t xml:space="preserve">T099</t>
  </si>
  <si>
    <t xml:space="preserve">Rédiger la synthèse Q2</t>
  </si>
  <si>
    <t xml:space="preserve">T100</t>
  </si>
  <si>
    <t xml:space="preserve">Taux de retour par produit, catégorie, boutique et période</t>
  </si>
  <si>
    <t xml:space="preserve">T101</t>
  </si>
  <si>
    <t xml:space="preserve">Identifier produits et boutiques au taux de retour anormal</t>
  </si>
  <si>
    <t xml:space="preserve">T102</t>
  </si>
  <si>
    <t xml:space="preserve">Analyser la relation entre prix unitaire et taux de retour</t>
  </si>
  <si>
    <t xml:space="preserve">T103</t>
  </si>
  <si>
    <t xml:space="preserve">Rédiger la synthèse Q3</t>
  </si>
  <si>
    <t xml:space="preserve">T104</t>
  </si>
  <si>
    <t xml:space="preserve">Corrélation entre taux de remise et taux de retour au niveau produit et promotion (Spearman)</t>
  </si>
  <si>
    <t xml:space="preserve">T105</t>
  </si>
  <si>
    <t xml:space="preserve">Contrôler les facteurs de confusion (catégorie, période) par régression</t>
  </si>
  <si>
    <t xml:space="preserve">T106</t>
  </si>
  <si>
    <t xml:space="preserve">Rédiger la synthèse Q4</t>
  </si>
  <si>
    <t xml:space="preserve">T107</t>
  </si>
  <si>
    <t xml:space="preserve">Définir la cible (vente avec retour, taux de retour) et les variables explicatives (remise, prix, catégorie, boutique, période)</t>
  </si>
  <si>
    <t xml:space="preserve">T108</t>
  </si>
  <si>
    <t xml:space="preserve">Entraîner une régression logistique et un modèle de gradient boosting</t>
  </si>
  <si>
    <t xml:space="preserve">Python (scikit-learn)</t>
  </si>
  <si>
    <t xml:space="preserve">T109</t>
  </si>
  <si>
    <t xml:space="preserve">Évaluer les modèles (AUC, précision, rappel) sur une période de test</t>
  </si>
  <si>
    <t xml:space="preserve">T110</t>
  </si>
  <si>
    <t xml:space="preserve">Interpréter les facteurs de retour (importance des variables, SHAP)</t>
  </si>
  <si>
    <t xml:space="preserve">Python (shap)</t>
  </si>
  <si>
    <t xml:space="preserve">T111</t>
  </si>
  <si>
    <t xml:space="preserve">Concevoir la maquette du tableau de bord Excel (indicateurs clés, graphiques)</t>
  </si>
  <si>
    <t xml:space="preserve">T112</t>
  </si>
  <si>
    <t xml:space="preserve">Importer les données agrégées avec Power Query</t>
  </si>
  <si>
    <t xml:space="preserve">Excel (Power Query)</t>
  </si>
  <si>
    <t xml:space="preserve">T113</t>
  </si>
  <si>
    <t xml:space="preserve">Construire tableaux croisés dynamiques et graphiques</t>
  </si>
  <si>
    <t xml:space="preserve">T114</t>
  </si>
  <si>
    <t xml:space="preserve">Ajouter segments et chronologie (boutique, catégorie, période, promotion)</t>
  </si>
  <si>
    <t xml:space="preserve">T115</t>
  </si>
  <si>
    <t xml:space="preserve">Mettre en forme et faire tester par un autre membre</t>
  </si>
  <si>
    <t xml:space="preserve">T116</t>
  </si>
  <si>
    <t xml:space="preserve">Sprint 4 : planification, revue et rétrospective</t>
  </si>
  <si>
    <t xml:space="preserve">T117</t>
  </si>
  <si>
    <t xml:space="preserve">Marge en valeur par tranche de remise et par catégorie</t>
  </si>
  <si>
    <t xml:space="preserve">T118</t>
  </si>
  <si>
    <t xml:space="preserve">Estimer l'élasticité descriptive du volume à la remise</t>
  </si>
  <si>
    <t xml:space="preserve">T119</t>
  </si>
  <si>
    <t xml:space="preserve">Identifier les seuils de remise où la marge en valeur baisse ou les retours augmentent</t>
  </si>
  <si>
    <t xml:space="preserve">T120</t>
  </si>
  <si>
    <t xml:space="preserve">Rédiger la synthèse Q5 et les pistes de recommandations</t>
  </si>
  <si>
    <t xml:space="preserve">T121</t>
  </si>
  <si>
    <t xml:space="preserve">Définir la cible et la granularité de prévision (ventes hebdomadaires par catégorie)</t>
  </si>
  <si>
    <t xml:space="preserve">T122</t>
  </si>
  <si>
    <t xml:space="preserve">Découpage temporel entraînement et test</t>
  </si>
  <si>
    <t xml:space="preserve">T123</t>
  </si>
  <si>
    <t xml:space="preserve">Modèle de référence naïf saisonnier</t>
  </si>
  <si>
    <t xml:space="preserve">T124</t>
  </si>
  <si>
    <t xml:space="preserve">Modèle SARIMA</t>
  </si>
  <si>
    <t xml:space="preserve">T125</t>
  </si>
  <si>
    <t xml:space="preserve">Modèle de gradient boosting avec variables calendrier et promotion</t>
  </si>
  <si>
    <t xml:space="preserve">T126</t>
  </si>
  <si>
    <t xml:space="preserve">Évaluer et comparer les modèles (MAE, MAPE)</t>
  </si>
  <si>
    <t xml:space="preserve">T127</t>
  </si>
  <si>
    <t xml:space="preserve">Interpréter les résultats (importance des variables)</t>
  </si>
  <si>
    <t xml:space="preserve">T128</t>
  </si>
  <si>
    <t xml:space="preserve">Exporter les prévisions et le risque de retour par vente vers data/outputs/predictions</t>
  </si>
  <si>
    <t xml:space="preserve">T129</t>
  </si>
  <si>
    <t xml:space="preserve">Construire la table d'apprentissage (catégorie × boutique × semaine : remise, volume, marge, retours)</t>
  </si>
  <si>
    <t xml:space="preserve">T130</t>
  </si>
  <si>
    <t xml:space="preserve">Modéliser le volume en fonction du taux de remise (régression log-log, gradient boosting)</t>
  </si>
  <si>
    <t xml:space="preserve">Python (statsmodels, scikit-learn)</t>
  </si>
  <si>
    <t xml:space="preserve">T131</t>
  </si>
  <si>
    <t xml:space="preserve">Estimer l'uplift incrémental par type de promotion (groupe de contrôle hors promo comparable)</t>
  </si>
  <si>
    <t xml:space="preserve">T132</t>
  </si>
  <si>
    <t xml:space="preserve">Valider le modèle de réponse sur une période de test</t>
  </si>
  <si>
    <t xml:space="preserve">T133</t>
  </si>
  <si>
    <t xml:space="preserve">Définir les scénarios (taux de remise de 0 à 30 %, catégories ciblées, périodes)</t>
  </si>
  <si>
    <t xml:space="preserve">T134</t>
  </si>
  <si>
    <t xml:space="preserve">Simuler volume, CA, marge et retours pour chaque scénario à partir des modèles US28 et US29</t>
  </si>
  <si>
    <t xml:space="preserve">T135</t>
  </si>
  <si>
    <t xml:space="preserve">Calculer la marge nette des retours par scénario (hypothèse de part de retours invendables) et comparer au scénario actuel</t>
  </si>
  <si>
    <t xml:space="preserve">T136</t>
  </si>
  <si>
    <t xml:space="preserve">Exporter les résultats des scénarios vers data/outputs/scenarios</t>
  </si>
  <si>
    <t xml:space="preserve">T137</t>
  </si>
  <si>
    <t xml:space="preserve">Créer la page what-if Power BI (paramètre de taux de remise)</t>
  </si>
  <si>
    <t xml:space="preserve">Power BI (DAX)</t>
  </si>
  <si>
    <t xml:space="preserve">T138</t>
  </si>
  <si>
    <t xml:space="preserve">Formuler le problème : maximiser la marge nette des retours, variables = remise par catégorie, contraintes (budget de remise, volume minimal, taux de retour maximal)</t>
  </si>
  <si>
    <t xml:space="preserve">Réunion / Python</t>
  </si>
  <si>
    <t xml:space="preserve">T139</t>
  </si>
  <si>
    <t xml:space="preserve">Résoudre l'optimisation en Python</t>
  </si>
  <si>
    <t xml:space="preserve">Python (scipy.optimize, PuLP)</t>
  </si>
  <si>
    <t xml:space="preserve">T140</t>
  </si>
  <si>
    <t xml:space="preserve">Reproduire l'optimisation avec le Solveur Excel et le Gestionnaire de scénarios</t>
  </si>
  <si>
    <t xml:space="preserve">Excel (Solveur)</t>
  </si>
  <si>
    <t xml:space="preserve">T141</t>
  </si>
  <si>
    <t xml:space="preserve">Comparer la politique optimale à la politique actuelle (gain de marge attendu)</t>
  </si>
  <si>
    <t xml:space="preserve">T142</t>
  </si>
  <si>
    <t xml:space="preserve">Écrire les tests automatiques de l'optimisation (bornes de remise, budget, taux de retour maximal)</t>
  </si>
  <si>
    <t xml:space="preserve">T143</t>
  </si>
  <si>
    <t xml:space="preserve">Exporter la politique optimale vers data/outputs/optimisation</t>
  </si>
  <si>
    <t xml:space="preserve">T144</t>
  </si>
  <si>
    <t xml:space="preserve">Importer le modèle en flocon (data/clean) et les résultats des modèles (data/outputs), créer les relations</t>
  </si>
  <si>
    <t xml:space="preserve">Power BI</t>
  </si>
  <si>
    <t xml:space="preserve">T145</t>
  </si>
  <si>
    <t xml:space="preserve">Créer les mesures DAX (CA, marge en valeur, taux de retour, taux de remise, variation annuelle)</t>
  </si>
  <si>
    <t xml:space="preserve">T146</t>
  </si>
  <si>
    <t xml:space="preserve">Page vue d'ensemble et page boutiques avec carte géographique</t>
  </si>
  <si>
    <t xml:space="preserve">T147</t>
  </si>
  <si>
    <t xml:space="preserve">Pages produits, promotions et retours</t>
  </si>
  <si>
    <t xml:space="preserve">T148</t>
  </si>
  <si>
    <t xml:space="preserve">Filtres, segments, exploration hiérarchique et info-bulles</t>
  </si>
  <si>
    <t xml:space="preserve">T149</t>
  </si>
  <si>
    <t xml:space="preserve">Valider les mesures DAX contre les résultats Python</t>
  </si>
  <si>
    <t xml:space="preserve">Power BI / Python</t>
  </si>
  <si>
    <t xml:space="preserve">T150</t>
  </si>
  <si>
    <t xml:space="preserve">Rédiger le rapport d'analyse (Q1 à Q5, modèles prédictifs, simulation et optimisation)</t>
  </si>
  <si>
    <t xml:space="preserve">T151</t>
  </si>
  <si>
    <t xml:space="preserve">Sélectionner les visualisations clés</t>
  </si>
  <si>
    <t xml:space="preserve">Python / Power BI</t>
  </si>
  <si>
    <t xml:space="preserve">T152</t>
  </si>
  <si>
    <t xml:space="preserve">Préparer la présentation PowerPoint des conclusions et recommandations</t>
  </si>
  <si>
    <t xml:space="preserve">T153</t>
  </si>
  <si>
    <t xml:space="preserve">Préparer la démonstration des tableaux de bord</t>
  </si>
  <si>
    <t xml:space="preserve">Power BI / Excel</t>
  </si>
  <si>
    <t xml:space="preserve">T154</t>
  </si>
  <si>
    <t xml:space="preserve">T155</t>
  </si>
  <si>
    <t xml:space="preserve">Sprint 5 : planification, revue et rétrospective</t>
  </si>
  <si>
    <t xml:space="preserve">T156</t>
  </si>
  <si>
    <t xml:space="preserve">Intégrer la rétroaction reçue lors de la présentation</t>
  </si>
  <si>
    <t xml:space="preserve">T157</t>
  </si>
  <si>
    <t xml:space="preserve">Analyse de sensibilité (élasticité ±20 %, part de retours invendables de 0 à 100 %, budget de remise)</t>
  </si>
  <si>
    <t xml:space="preserve">T158</t>
  </si>
  <si>
    <t xml:space="preserve">Construire le calendrier promotionnel recommandé (catégories, périodes, taux de remise)</t>
  </si>
  <si>
    <t xml:space="preserve">Python / Excel</t>
  </si>
  <si>
    <t xml:space="preserve">T159</t>
  </si>
  <si>
    <t xml:space="preserve">Prévoir les ventes du trimestre suivant avec le plan recommandé vs le plan actuel</t>
  </si>
  <si>
    <t xml:space="preserve">T160</t>
  </si>
  <si>
    <t xml:space="preserve">Chiffrer les gains attendus et les risques du plan</t>
  </si>
  <si>
    <t xml:space="preserve">T161</t>
  </si>
  <si>
    <t xml:space="preserve">Formuler les recommandations opérationnelles et les prioriser (impact, faisabilité)</t>
  </si>
  <si>
    <t xml:space="preserve">T162</t>
  </si>
  <si>
    <t xml:space="preserve">Rédiger les limites et les pistes d'amélioration (données à collecter)</t>
  </si>
  <si>
    <t xml:space="preserve">T163</t>
  </si>
  <si>
    <t xml:space="preserve">Compiler les annexes (dictionnaire, code, captures des tableaux de bord)</t>
  </si>
  <si>
    <t xml:space="preserve">T164</t>
  </si>
  <si>
    <t xml:space="preserve">Exécuter run_pipeline.py de bout en bout et archiver les notebooks exécutés</t>
  </si>
  <si>
    <t xml:space="preserve">T165</t>
  </si>
  <si>
    <t xml:space="preserve">Relecture finale, mise en page et remise (14 déc.)</t>
  </si>
  <si>
    <t xml:space="preserve">T166</t>
  </si>
  <si>
    <t xml:space="preserve">Sprint 6 : revue finale et rétrospective du projet</t>
  </si>
  <si>
    <t xml:space="preserve">T167</t>
  </si>
  <si>
    <t xml:space="preserve">Explorer la base Contoso : plan stratégique (FactStrategyPlan), table transactionnelle (FactOnlineSales), liste de toutes les tables</t>
  </si>
  <si>
    <t xml:space="preserve">Python / SQL Server</t>
  </si>
  <si>
    <t xml:space="preserve">6 oct. 2026</t>
  </si>
  <si>
    <t xml:space="preserve">T168</t>
  </si>
  <si>
    <t xml:space="preserve">Établir le périmètre réel des fichiers fournis (5 catégories sur 8, trimestres 1 à 3) et le rapprochement avec le plan stratégique</t>
  </si>
  <si>
    <t xml:space="preserve">T169</t>
  </si>
  <si>
    <t xml:space="preserve">Extraire les ventes complètes des 56 boutiques au format des fichiers fournis (Connexion.py, dossier Sales_complet)</t>
  </si>
  <si>
    <t xml:space="preserve">T170</t>
  </si>
  <si>
    <t xml:space="preserve">Ajouter le choix de la source dans config.py (SOURCE_VENTES) et adapter etl.py</t>
  </si>
  <si>
    <t xml:space="preserve">T171</t>
  </si>
  <si>
    <t xml:space="preserve">Relancer les notebooks 00 à 05 sur les ventes complètes et mettre à jour les constats du diagnostic</t>
  </si>
  <si>
    <t xml:space="preserve">T172</t>
  </si>
  <si>
    <t xml:space="preserve">Documenter et justifier le changement de périmètre (00_inventaire, section 9)</t>
  </si>
  <si>
    <t xml:space="preserve">T173</t>
  </si>
  <si>
    <t xml:space="preserve">Analyser les remises supérieures à la vente (règle R5) et appliquer la règle N6 dans 04_nettoyage</t>
  </si>
  <si>
    <t xml:space="preserve">T174</t>
  </si>
  <si>
    <t xml:space="preserve">Reporter les nouvelles user stories et leurs tâches dans Jira</t>
  </si>
  <si>
    <t xml:space="preserve">Jira</t>
  </si>
  <si>
    <t xml:space="preserve">À répartir</t>
  </si>
  <si>
    <t xml:space="preserve">T175</t>
  </si>
  <si>
    <t xml:space="preserve">Extraire FactStrategyPlan, DimAccount, DimEntity et DimScenario pour nos boutiques (Connexion.py)</t>
  </si>
  <si>
    <t xml:space="preserve">T176</t>
  </si>
  <si>
    <t xml:space="preserve">Joindre les charges aux ventes par boutique et par mois (DimStore.EntityKey) et contrôler le rapprochement</t>
  </si>
  <si>
    <t xml:space="preserve">T177</t>
  </si>
  <si>
    <t xml:space="preserve">Calculer la rentabilité nette par boutique et par mois (marge nette moins charges d'exploitation)</t>
  </si>
  <si>
    <t xml:space="preserve">T178</t>
  </si>
  <si>
    <t xml:space="preserve">Comparer le réel au budget et à la prévision par boutique</t>
  </si>
  <si>
    <t xml:space="preserve">T179</t>
  </si>
  <si>
    <t xml:space="preserve">Rédiger la synthèse sur la rentabilité nette des boutiques</t>
  </si>
  <si>
    <t xml:space="preserve">T180</t>
  </si>
  <si>
    <t xml:space="preserve">Agréger les dépenses de publicité par boutique, mois et type de campagne</t>
  </si>
  <si>
    <t xml:space="preserve">T181</t>
  </si>
  <si>
    <t xml:space="preserve">Rapprocher la publicité des remises accordées et des ventes en promotion</t>
  </si>
  <si>
    <t xml:space="preserve">T182</t>
  </si>
  <si>
    <t xml:space="preserve">Rédiger la synthèse publicité et promotions</t>
  </si>
  <si>
    <t xml:space="preserve">T183</t>
  </si>
  <si>
    <t xml:space="preserve">Extraire un agrégat mensuel de FactOnlineSales pour la boutique en ligne (dates au format AAAAMMJJ)</t>
  </si>
  <si>
    <t xml:space="preserve">T184</t>
  </si>
  <si>
    <t xml:space="preserve">Comparer volumes, chiffre d'affaires et remises du détail en ligne et des ventes consolidées</t>
  </si>
  <si>
    <t xml:space="preserve">T185</t>
  </si>
  <si>
    <t xml:space="preserve">Rédiger la synthèse et la limite (canal en ligne seulement)</t>
  </si>
  <si>
    <t xml:space="preserve">Date</t>
  </si>
  <si>
    <t xml:space="preserve">Changement</t>
  </si>
  <si>
    <t xml:space="preserve">Raison</t>
  </si>
  <si>
    <t xml:space="preserve">Statut dans Jira</t>
  </si>
  <si>
    <t xml:space="preserve">Périmètre des données</t>
  </si>
  <si>
    <t xml:space="preserve">Passage des fichiers fournis (5 catégories, trimestres 1 à 3, 144 874 lignes) aux ventes complètes des 56 boutiques (8 catégories, 8 trimestres, 376 234 lignes)</t>
  </si>
  <si>
    <t xml:space="preserve">Seul périmètre comparable aux charges du plan stratégique ; les catégories absentes pèsent plus de la moitié du chiffre d'affaires ; fin d'année et promotion des Fêtes présentes</t>
  </si>
  <si>
    <t xml:space="preserve">Sans objet</t>
  </si>
  <si>
    <t xml:space="preserve">US34 (nouvelle, Must)</t>
  </si>
  <si>
    <t xml:space="preserve">Étendre les ventes au périmètre complet : 8 tâches T167 à T174, dont 7 déjà terminées</t>
  </si>
  <si>
    <t xml:space="preserve">Travail réalisé le 6 octobre, à tracer dans le backlog</t>
  </si>
  <si>
    <t xml:space="preserve">À créer</t>
  </si>
  <si>
    <t xml:space="preserve">US35 (nouvelle, Should)</t>
  </si>
  <si>
    <t xml:space="preserve">Rentabilité nette par boutique à partir des charges du plan stratégique : 5 tâches T175 à T179</t>
  </si>
  <si>
    <t xml:space="preserve">Les charges par boutique existent dans Contoso et se rapprochent de nos ventes au cent près</t>
  </si>
  <si>
    <t xml:space="preserve">US36 (nouvelle, Should)</t>
  </si>
  <si>
    <t xml:space="preserve">Dépenses de publicité face aux promotions : 3 tâches T180 à T182</t>
  </si>
  <si>
    <t xml:space="preserve">Complète Q2 et Q5</t>
  </si>
  <si>
    <t xml:space="preserve">US37 (nouvelle, Could)</t>
  </si>
  <si>
    <t xml:space="preserve">Détail des ventes en ligne pour comprendre les remises : 3 tâches T183 à T185</t>
  </si>
  <si>
    <t xml:space="preserve">Seule table transactionnelle de la base, limitée au canal en ligne</t>
  </si>
  <si>
    <t xml:space="preserve">Priorité Must -&gt; Could (modèle prédictif du risque de retour)</t>
  </si>
  <si>
    <t xml:space="preserve">L'énoncé demande d'identifier les déterminants des retours (US19, US21) et des modèles prédictifs de ventes (US23), pas un modèle prédictif des retours</t>
  </si>
  <si>
    <t xml:space="preserve">À modifier</t>
  </si>
  <si>
    <t xml:space="preserve">Priorité Must -&gt; Could (simulation de scénarios what-if)</t>
  </si>
  <si>
    <t xml:space="preserve">La stratégie d'optimisation demandée est couverte par US31</t>
  </si>
  <si>
    <t xml:space="preserve">Priorité Must -&gt; Could (analyse de sensibilité et calendrier promotionnel)</t>
  </si>
  <si>
    <t xml:space="preserve">Les recommandations opérationnelles demandées sont couvertes par US26</t>
  </si>
  <si>
    <t xml:space="preserve">Libellé : « tous les trimestres de ventes (6 fournis, puis 8) »</t>
  </si>
  <si>
    <t xml:space="preserve">Suite du changement de périmètre</t>
  </si>
  <si>
    <t xml:space="preserve">Nettoyage</t>
  </si>
  <si>
    <t xml:space="preserve">Nouvelle règle N6 : quantité remisée ramenée à la quantité vendue sur 386 lignes. Aucun montant modifié : le chiffre d'affaires reste égal à celui du plan stratégique</t>
  </si>
  <si>
    <t xml:space="preserve">Anomalie apparue avec la catégorie Home Appliances ; démarche détaillée dans 03_diagnostic et dans le L3</t>
  </si>
  <si>
    <t xml:space="preserve">Les documents remis le 5 octobre (L1, L2, présentation UA1) ne sont pas modifiés : cet onglet et le L3 expliquent les changements.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</si>
</sst>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;\-0%;\-"/>
    <numFmt numFmtId="166" formatCode="General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7332E"/>
      <name val="Cambria"/>
      <family val="0"/>
      <charset val="1"/>
    </font>
    <font>
      <i val="true"/>
      <sz val="10"/>
      <color rgb="FF5E6B6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color rgb="FF17332E"/>
      <name val="Cambria"/>
      <family val="0"/>
      <charset val="1"/>
    </font>
    <font>
      <b val="true"/>
      <sz val="14"/>
      <color rgb="FFE9A23B"/>
      <name val="Cambria"/>
      <family val="0"/>
      <charset val="1"/>
    </font>
    <font>
      <i val="true"/>
      <sz val="9"/>
      <color rgb="FFB5523B"/>
      <name val="Cambria"/>
      <family val="0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7332E"/>
      </patternFill>
    </fill>
    <fill>
      <patternFill patternType="solid">
        <fgColor rgb="FFDEEAF6"/>
        <bgColor rgb="FFD9E6E1"/>
      </patternFill>
    </fill>
    <fill>
      <patternFill patternType="solid">
        <fgColor rgb="FFE2EFDA"/>
        <bgColor rgb="FFD9E6E1"/>
      </patternFill>
    </fill>
    <fill>
      <patternFill patternType="solid">
        <fgColor rgb="FFFCE4D6"/>
        <bgColor rgb="FFFFF2CC"/>
      </patternFill>
    </fill>
    <fill>
      <patternFill patternType="solid">
        <fgColor rgb="FFEDE7F6"/>
        <bgColor rgb="FFDEEAF6"/>
      </patternFill>
    </fill>
    <fill>
      <patternFill patternType="solid">
        <fgColor rgb="FF17332E"/>
        <bgColor rgb="FF1F3864"/>
      </patternFill>
    </fill>
    <fill>
      <patternFill patternType="solid">
        <fgColor rgb="FFD9E6E1"/>
        <bgColor rgb="FFD5DFDB"/>
      </patternFill>
    </fill>
    <fill>
      <patternFill patternType="solid">
        <fgColor rgb="FF2E5E55"/>
        <bgColor rgb="FF5E6B68"/>
      </patternFill>
    </fill>
    <fill>
      <patternFill patternType="solid">
        <fgColor rgb="FF7FAE9F"/>
        <bgColor rgb="FF808080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5DFDB"/>
      </left>
      <right style="thin">
        <color rgb="FFD5DFDB"/>
      </right>
      <top style="thin">
        <color rgb="FFD5DFDB"/>
      </top>
      <bottom style="thin">
        <color rgb="FFD5DF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55"/>
      <rgbColor rgb="FFBFBFBF"/>
      <rgbColor rgb="FF808080"/>
      <rgbColor rgb="FF9999FF"/>
      <rgbColor rgb="FFB5523B"/>
      <rgbColor rgb="FFFFF2CC"/>
      <rgbColor rgb="FFDEEAF6"/>
      <rgbColor rgb="FF660066"/>
      <rgbColor rgb="FFFF8080"/>
      <rgbColor rgb="FF0066CC"/>
      <rgbColor rgb="FFD5DF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6E1"/>
      <rgbColor rgb="FFE2EFDA"/>
      <rgbColor rgb="FFEDE7F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E9A23B"/>
      <rgbColor rgb="FFFF6600"/>
      <rgbColor rgb="FF5E6B68"/>
      <rgbColor rgb="FF7FAE9F"/>
      <rgbColor rgb="FF1F3864"/>
      <rgbColor rgb="FF339966"/>
      <rgbColor rgb="FF003300"/>
      <rgbColor rgb="FF333300"/>
      <rgbColor rgb="FF993300"/>
      <rgbColor rgb="FF993366"/>
      <rgbColor rgb="FF333399"/>
      <rgbColor rgb="FF1733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4"/>
    <col collapsed="false" customWidth="true" hidden="false" outlineLevel="0" max="4" min="4" style="1" width="10"/>
    <col collapsed="false" customWidth="true" hidden="false" outlineLevel="0" max="5" min="5" style="1" width="50"/>
    <col collapsed="false" customWidth="true" hidden="false" outlineLevel="0" max="6" min="6" style="1" width="46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23.25" hidden="false" customHeight="true" outlineLevel="0" collapsed="false">
      <c r="A5" s="5" t="s">
        <v>12</v>
      </c>
      <c r="B5" s="5" t="s">
        <v>13</v>
      </c>
      <c r="C5" s="5" t="s">
        <v>14</v>
      </c>
      <c r="D5" s="5" t="n">
        <v>2</v>
      </c>
      <c r="E5" s="5" t="s">
        <v>15</v>
      </c>
      <c r="F5" s="5" t="s">
        <v>16</v>
      </c>
      <c r="G5" s="5" t="s">
        <v>17</v>
      </c>
      <c r="H5" s="6" t="n">
        <v>0.2</v>
      </c>
      <c r="I5" s="7" t="n">
        <f aca="false">COUNTIF(Tâches!$D$2:$D$186,A5)</f>
        <v>37</v>
      </c>
      <c r="J5" s="7" t="n">
        <f aca="false">SUMIF(Tâches!$D$2:$D$186,A5,Tâches!$G$2:$G$186)</f>
        <v>55</v>
      </c>
    </row>
    <row r="6" customFormat="false" ht="23.25" hidden="false" customHeight="true" outlineLevel="0" collapsed="false">
      <c r="A6" s="8" t="s">
        <v>18</v>
      </c>
      <c r="B6" s="8" t="s">
        <v>17</v>
      </c>
      <c r="C6" s="8" t="s">
        <v>19</v>
      </c>
      <c r="D6" s="8" t="n">
        <v>2</v>
      </c>
      <c r="E6" s="8" t="s">
        <v>20</v>
      </c>
      <c r="F6" s="8"/>
      <c r="G6" s="8"/>
      <c r="H6" s="9"/>
      <c r="I6" s="10" t="n">
        <f aca="false">COUNTIF(Tâches!$D$2:$D$186,A6)</f>
        <v>27</v>
      </c>
      <c r="J6" s="10" t="n">
        <f aca="false">SUMIF(Tâches!$D$2:$D$186,A6,Tâches!$G$2:$G$186)</f>
        <v>48.5</v>
      </c>
    </row>
    <row r="7" customFormat="false" ht="15" hidden="false" customHeight="true" outlineLevel="0" collapsed="false">
      <c r="A7" s="8" t="s">
        <v>21</v>
      </c>
      <c r="B7" s="8" t="s">
        <v>22</v>
      </c>
      <c r="C7" s="8" t="s">
        <v>23</v>
      </c>
      <c r="D7" s="8" t="n">
        <v>2</v>
      </c>
      <c r="E7" s="8" t="s">
        <v>24</v>
      </c>
      <c r="F7" s="8"/>
      <c r="G7" s="8"/>
      <c r="H7" s="9"/>
      <c r="I7" s="10" t="n">
        <f aca="false">COUNTIF(Tâches!$D$2:$D$186,A7)</f>
        <v>16</v>
      </c>
      <c r="J7" s="10" t="n">
        <f aca="false">SUMIF(Tâches!$D$2:$D$186,A7,Tâches!$G$2:$G$186)</f>
        <v>25.5</v>
      </c>
    </row>
    <row r="8" customFormat="false" ht="23.25" hidden="false" customHeight="true" outlineLevel="0" collapsed="false">
      <c r="A8" s="8" t="s">
        <v>25</v>
      </c>
      <c r="B8" s="8" t="s">
        <v>26</v>
      </c>
      <c r="C8" s="8" t="s">
        <v>27</v>
      </c>
      <c r="D8" s="8" t="n">
        <v>1</v>
      </c>
      <c r="E8" s="8" t="s">
        <v>28</v>
      </c>
      <c r="F8" s="8" t="s">
        <v>29</v>
      </c>
      <c r="G8" s="8" t="s">
        <v>30</v>
      </c>
      <c r="H8" s="9" t="n">
        <v>0.25</v>
      </c>
      <c r="I8" s="10" t="n">
        <f aca="false">COUNTIF(Tâches!$D$2:$D$186,A8)</f>
        <v>15</v>
      </c>
      <c r="J8" s="10" t="n">
        <f aca="false">SUMIF(Tâches!$D$2:$D$186,A8,Tâches!$G$2:$G$186)</f>
        <v>22.5</v>
      </c>
    </row>
    <row r="9" customFormat="false" ht="23.25" hidden="false" customHeight="true" outlineLevel="0" collapsed="false">
      <c r="A9" s="11" t="s">
        <v>31</v>
      </c>
      <c r="B9" s="11" t="s">
        <v>30</v>
      </c>
      <c r="C9" s="11" t="s">
        <v>32</v>
      </c>
      <c r="D9" s="11" t="n">
        <v>2</v>
      </c>
      <c r="E9" s="11" t="s">
        <v>33</v>
      </c>
      <c r="F9" s="11"/>
      <c r="G9" s="11"/>
      <c r="H9" s="12"/>
      <c r="I9" s="13" t="n">
        <f aca="false">COUNTIF(Tâches!$D$2:$D$186,A9)</f>
        <v>40</v>
      </c>
      <c r="J9" s="13" t="n">
        <f aca="false">SUMIF(Tâches!$D$2:$D$186,A9,Tâches!$G$2:$G$186)</f>
        <v>69</v>
      </c>
    </row>
    <row r="10" customFormat="false" ht="34.5" hidden="false" customHeight="true" outlineLevel="0" collapsed="false">
      <c r="A10" s="11" t="s">
        <v>34</v>
      </c>
      <c r="B10" s="11" t="s">
        <v>35</v>
      </c>
      <c r="C10" s="11" t="s">
        <v>36</v>
      </c>
      <c r="D10" s="11" t="n">
        <v>2</v>
      </c>
      <c r="E10" s="11" t="s">
        <v>37</v>
      </c>
      <c r="F10" s="11" t="s">
        <v>38</v>
      </c>
      <c r="G10" s="11" t="s">
        <v>39</v>
      </c>
      <c r="H10" s="12" t="n">
        <v>0.35</v>
      </c>
      <c r="I10" s="13" t="n">
        <f aca="false">COUNTIF(Tâches!$D$2:$D$186,A10)</f>
        <v>39</v>
      </c>
      <c r="J10" s="13" t="n">
        <f aca="false">SUMIF(Tâches!$D$2:$D$186,A10,Tâches!$G$2:$G$186)</f>
        <v>75.5</v>
      </c>
    </row>
    <row r="11" customFormat="false" ht="23.25" hidden="false" customHeight="true" outlineLevel="0" collapsed="false">
      <c r="A11" s="14" t="s">
        <v>40</v>
      </c>
      <c r="B11" s="14" t="s">
        <v>39</v>
      </c>
      <c r="C11" s="14" t="s">
        <v>41</v>
      </c>
      <c r="D11" s="14" t="n">
        <v>1</v>
      </c>
      <c r="E11" s="14" t="s">
        <v>42</v>
      </c>
      <c r="F11" s="14" t="s">
        <v>43</v>
      </c>
      <c r="G11" s="14" t="s">
        <v>44</v>
      </c>
      <c r="H11" s="15" t="n">
        <v>0.2</v>
      </c>
      <c r="I11" s="16" t="n">
        <f aca="false">COUNTIF(Tâches!$D$2:$D$186,A11)</f>
        <v>11</v>
      </c>
      <c r="J11" s="16" t="n">
        <f aca="false">SUMIF(Tâches!$D$2:$D$186,A11,Tâches!$G$2:$G$186)</f>
        <v>19.5</v>
      </c>
    </row>
    <row r="12" customFormat="false" ht="15" hidden="false" customHeight="true" outlineLevel="0" collapsed="false">
      <c r="A12" s="17" t="s">
        <v>45</v>
      </c>
      <c r="D12" s="18" t="n">
        <f aca="false">SUM(D5:D11)</f>
        <v>12</v>
      </c>
      <c r="H12" s="19" t="n">
        <f aca="false">SUM(H5:H11)</f>
        <v>1</v>
      </c>
      <c r="I12" s="18" t="n">
        <f aca="false">SUM(I5:I11)</f>
        <v>185</v>
      </c>
      <c r="J12" s="18" t="n">
        <f aca="false">SUM(J5:J11)</f>
        <v>315.5</v>
      </c>
    </row>
    <row r="14" customFormat="false" ht="15" hidden="false" customHeight="true" outlineLevel="0" collapsed="false">
      <c r="A14" s="17" t="s">
        <v>46</v>
      </c>
    </row>
    <row r="15" customFormat="false" ht="15" hidden="false" customHeight="true" outlineLevel="0" collapsed="false">
      <c r="A15" s="20" t="s">
        <v>47</v>
      </c>
    </row>
    <row r="16" customFormat="false" ht="15" hidden="false" customHeight="true" outlineLevel="0" collapsed="false">
      <c r="A16" s="20" t="s">
        <v>48</v>
      </c>
    </row>
    <row r="17" customFormat="false" ht="15" hidden="false" customHeight="true" outlineLevel="0" collapsed="false">
      <c r="A17" s="20" t="s">
        <v>49</v>
      </c>
    </row>
    <row r="18" customFormat="false" ht="15" hidden="false" customHeight="true" outlineLevel="0" collapsed="false">
      <c r="A18" s="20" t="s">
        <v>50</v>
      </c>
    </row>
    <row r="19" customFormat="false" ht="15" hidden="false" customHeight="true" outlineLevel="0" collapsed="false">
      <c r="A19" s="2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3" min="2" style="1" width="15"/>
    <col collapsed="false" customWidth="true" hidden="false" outlineLevel="0" max="4" min="4" style="1" width="9"/>
    <col collapsed="false" customWidth="true" hidden="false" outlineLevel="0" max="17" min="5" style="1" width="9.52"/>
  </cols>
  <sheetData>
    <row r="1" customFormat="false" ht="19.5" hidden="false" customHeight="true" outlineLevel="0" collapsed="false">
      <c r="A1" s="21" t="s">
        <v>52</v>
      </c>
    </row>
    <row r="2" customFormat="false" ht="15" hidden="false" customHeight="true" outlineLevel="0" collapsed="false">
      <c r="A2" s="22" t="s">
        <v>53</v>
      </c>
    </row>
    <row r="4" customFormat="false" ht="31.5" hidden="false" customHeight="true" outlineLevel="0" collapsed="false">
      <c r="A4" s="23" t="s">
        <v>54</v>
      </c>
      <c r="B4" s="23" t="s">
        <v>3</v>
      </c>
      <c r="C4" s="23" t="s">
        <v>4</v>
      </c>
      <c r="D4" s="23" t="s">
        <v>55</v>
      </c>
      <c r="E4" s="24" t="s">
        <v>56</v>
      </c>
      <c r="F4" s="24" t="s">
        <v>57</v>
      </c>
      <c r="G4" s="24" t="s">
        <v>58</v>
      </c>
      <c r="H4" s="24" t="s">
        <v>59</v>
      </c>
      <c r="I4" s="24" t="s">
        <v>60</v>
      </c>
      <c r="J4" s="24" t="s">
        <v>61</v>
      </c>
      <c r="K4" s="24" t="s">
        <v>62</v>
      </c>
      <c r="L4" s="24" t="s">
        <v>63</v>
      </c>
      <c r="M4" s="24" t="s">
        <v>64</v>
      </c>
      <c r="N4" s="24" t="s">
        <v>65</v>
      </c>
      <c r="O4" s="24" t="s">
        <v>66</v>
      </c>
      <c r="P4" s="24" t="s">
        <v>67</v>
      </c>
      <c r="Q4" s="24" t="s">
        <v>68</v>
      </c>
    </row>
    <row r="5" customFormat="false" ht="15" hidden="false" customHeight="true" outlineLevel="0" collapsed="false">
      <c r="A5" s="25" t="s">
        <v>69</v>
      </c>
      <c r="B5" s="26"/>
      <c r="C5" s="26"/>
      <c r="D5" s="26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6" customFormat="false" ht="15" hidden="false" customHeight="true" outlineLevel="0" collapsed="false">
      <c r="A6" s="28" t="s">
        <v>70</v>
      </c>
      <c r="B6" s="29" t="s">
        <v>13</v>
      </c>
      <c r="C6" s="29" t="s">
        <v>14</v>
      </c>
      <c r="D6" s="29" t="n">
        <v>2</v>
      </c>
      <c r="E6" s="30" t="s">
        <v>12</v>
      </c>
      <c r="F6" s="30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7" customFormat="false" ht="15" hidden="false" customHeight="true" outlineLevel="0" collapsed="false">
      <c r="A7" s="28" t="s">
        <v>71</v>
      </c>
      <c r="B7" s="29" t="s">
        <v>17</v>
      </c>
      <c r="C7" s="29" t="s">
        <v>19</v>
      </c>
      <c r="D7" s="29" t="n">
        <v>2</v>
      </c>
      <c r="E7" s="28"/>
      <c r="F7" s="28"/>
      <c r="G7" s="30" t="s">
        <v>18</v>
      </c>
      <c r="H7" s="30"/>
      <c r="I7" s="28"/>
      <c r="J7" s="28"/>
      <c r="K7" s="28"/>
      <c r="L7" s="28"/>
      <c r="M7" s="28"/>
      <c r="N7" s="28"/>
      <c r="O7" s="28"/>
      <c r="P7" s="28"/>
      <c r="Q7" s="28"/>
    </row>
    <row r="8" customFormat="false" ht="15" hidden="false" customHeight="true" outlineLevel="0" collapsed="false">
      <c r="A8" s="28" t="s">
        <v>72</v>
      </c>
      <c r="B8" s="29" t="s">
        <v>22</v>
      </c>
      <c r="C8" s="29" t="s">
        <v>23</v>
      </c>
      <c r="D8" s="29" t="n">
        <v>2</v>
      </c>
      <c r="E8" s="28"/>
      <c r="F8" s="28"/>
      <c r="G8" s="28"/>
      <c r="H8" s="28"/>
      <c r="I8" s="30" t="s">
        <v>21</v>
      </c>
      <c r="J8" s="30"/>
      <c r="K8" s="28"/>
      <c r="L8" s="28"/>
      <c r="M8" s="28"/>
      <c r="N8" s="28"/>
      <c r="O8" s="28"/>
      <c r="P8" s="28"/>
      <c r="Q8" s="28"/>
    </row>
    <row r="9" customFormat="false" ht="15" hidden="false" customHeight="true" outlineLevel="0" collapsed="false">
      <c r="A9" s="28" t="s">
        <v>73</v>
      </c>
      <c r="B9" s="29" t="s">
        <v>26</v>
      </c>
      <c r="C9" s="29" t="s">
        <v>27</v>
      </c>
      <c r="D9" s="29" t="n">
        <v>1</v>
      </c>
      <c r="E9" s="28"/>
      <c r="F9" s="28"/>
      <c r="G9" s="28"/>
      <c r="H9" s="28"/>
      <c r="I9" s="28"/>
      <c r="J9" s="28"/>
      <c r="K9" s="30" t="s">
        <v>25</v>
      </c>
      <c r="L9" s="28"/>
      <c r="M9" s="28"/>
      <c r="N9" s="28"/>
      <c r="O9" s="28"/>
      <c r="P9" s="28"/>
      <c r="Q9" s="28"/>
    </row>
    <row r="10" customFormat="false" ht="15" hidden="false" customHeight="true" outlineLevel="0" collapsed="false">
      <c r="A10" s="28" t="s">
        <v>74</v>
      </c>
      <c r="B10" s="29" t="s">
        <v>30</v>
      </c>
      <c r="C10" s="29" t="s">
        <v>32</v>
      </c>
      <c r="D10" s="29" t="n">
        <v>2</v>
      </c>
      <c r="E10" s="28"/>
      <c r="F10" s="28"/>
      <c r="G10" s="28"/>
      <c r="H10" s="28"/>
      <c r="I10" s="28"/>
      <c r="J10" s="28"/>
      <c r="K10" s="28"/>
      <c r="L10" s="30" t="s">
        <v>31</v>
      </c>
      <c r="M10" s="30"/>
      <c r="N10" s="28"/>
      <c r="O10" s="28"/>
      <c r="P10" s="28"/>
      <c r="Q10" s="28"/>
    </row>
    <row r="11" customFormat="false" ht="15" hidden="false" customHeight="true" outlineLevel="0" collapsed="false">
      <c r="A11" s="28" t="s">
        <v>75</v>
      </c>
      <c r="B11" s="29" t="s">
        <v>35</v>
      </c>
      <c r="C11" s="29" t="s">
        <v>36</v>
      </c>
      <c r="D11" s="29" t="n">
        <v>2</v>
      </c>
      <c r="E11" s="28"/>
      <c r="F11" s="28"/>
      <c r="G11" s="28"/>
      <c r="H11" s="28"/>
      <c r="I11" s="28"/>
      <c r="J11" s="28"/>
      <c r="K11" s="28"/>
      <c r="L11" s="28"/>
      <c r="M11" s="28"/>
      <c r="N11" s="30" t="s">
        <v>34</v>
      </c>
      <c r="O11" s="30"/>
      <c r="P11" s="28"/>
      <c r="Q11" s="28"/>
    </row>
    <row r="12" customFormat="false" ht="15" hidden="false" customHeight="true" outlineLevel="0" collapsed="false">
      <c r="A12" s="28" t="s">
        <v>76</v>
      </c>
      <c r="B12" s="29" t="s">
        <v>39</v>
      </c>
      <c r="C12" s="29" t="s">
        <v>41</v>
      </c>
      <c r="D12" s="29" t="n">
        <v>1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0" t="s">
        <v>40</v>
      </c>
      <c r="Q12" s="28"/>
    </row>
    <row r="13" customFormat="false" ht="15" hidden="false" customHeight="true" outlineLevel="0" collapsed="false">
      <c r="A13" s="25" t="s">
        <v>77</v>
      </c>
      <c r="B13" s="26"/>
      <c r="C13" s="26"/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customFormat="false" ht="15" hidden="false" customHeight="true" outlineLevel="0" collapsed="false">
      <c r="A14" s="28" t="s">
        <v>78</v>
      </c>
      <c r="B14" s="29" t="s">
        <v>13</v>
      </c>
      <c r="C14" s="29" t="s">
        <v>41</v>
      </c>
      <c r="D14" s="29" t="n">
        <v>12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28"/>
    </row>
    <row r="15" customFormat="false" ht="15" hidden="false" customHeight="true" outlineLevel="0" collapsed="false">
      <c r="A15" s="28" t="s">
        <v>79</v>
      </c>
      <c r="B15" s="29" t="s">
        <v>13</v>
      </c>
      <c r="C15" s="29" t="s">
        <v>14</v>
      </c>
      <c r="D15" s="29" t="n">
        <v>2</v>
      </c>
      <c r="E15" s="31"/>
      <c r="F15" s="31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6" customFormat="false" ht="15" hidden="false" customHeight="true" outlineLevel="0" collapsed="false">
      <c r="A16" s="28" t="s">
        <v>80</v>
      </c>
      <c r="B16" s="29" t="s">
        <v>13</v>
      </c>
      <c r="C16" s="29" t="s">
        <v>19</v>
      </c>
      <c r="D16" s="29" t="n">
        <v>4</v>
      </c>
      <c r="E16" s="31"/>
      <c r="F16" s="31"/>
      <c r="G16" s="31"/>
      <c r="H16" s="31"/>
      <c r="I16" s="28"/>
      <c r="J16" s="28"/>
      <c r="K16" s="28"/>
      <c r="L16" s="28"/>
      <c r="M16" s="28"/>
      <c r="N16" s="28"/>
      <c r="O16" s="28"/>
      <c r="P16" s="28"/>
      <c r="Q16" s="28"/>
    </row>
    <row r="17" customFormat="false" ht="15" hidden="false" customHeight="true" outlineLevel="0" collapsed="false">
      <c r="A17" s="28" t="s">
        <v>81</v>
      </c>
      <c r="B17" s="29" t="s">
        <v>22</v>
      </c>
      <c r="C17" s="29" t="s">
        <v>23</v>
      </c>
      <c r="D17" s="29" t="n">
        <v>2</v>
      </c>
      <c r="E17" s="28"/>
      <c r="F17" s="28"/>
      <c r="G17" s="28"/>
      <c r="H17" s="28"/>
      <c r="I17" s="31"/>
      <c r="J17" s="31"/>
      <c r="K17" s="28"/>
      <c r="L17" s="28"/>
      <c r="M17" s="28"/>
      <c r="N17" s="28"/>
      <c r="O17" s="28"/>
      <c r="P17" s="28"/>
      <c r="Q17" s="28"/>
    </row>
    <row r="18" customFormat="false" ht="15" hidden="false" customHeight="true" outlineLevel="0" collapsed="false">
      <c r="A18" s="28" t="s">
        <v>82</v>
      </c>
      <c r="B18" s="29" t="s">
        <v>26</v>
      </c>
      <c r="C18" s="29" t="s">
        <v>27</v>
      </c>
      <c r="D18" s="29" t="n">
        <v>1</v>
      </c>
      <c r="E18" s="28"/>
      <c r="F18" s="28"/>
      <c r="G18" s="28"/>
      <c r="H18" s="28"/>
      <c r="I18" s="28"/>
      <c r="J18" s="28"/>
      <c r="K18" s="31"/>
      <c r="L18" s="28"/>
      <c r="M18" s="28"/>
      <c r="N18" s="28"/>
      <c r="O18" s="28"/>
      <c r="P18" s="28"/>
      <c r="Q18" s="28"/>
    </row>
    <row r="19" customFormat="false" ht="15" hidden="false" customHeight="true" outlineLevel="0" collapsed="false">
      <c r="A19" s="28" t="s">
        <v>83</v>
      </c>
      <c r="B19" s="29" t="s">
        <v>30</v>
      </c>
      <c r="C19" s="29" t="s">
        <v>36</v>
      </c>
      <c r="D19" s="29" t="n">
        <v>4</v>
      </c>
      <c r="E19" s="28"/>
      <c r="F19" s="28"/>
      <c r="G19" s="28"/>
      <c r="H19" s="28"/>
      <c r="I19" s="28"/>
      <c r="J19" s="28"/>
      <c r="K19" s="28"/>
      <c r="L19" s="31"/>
      <c r="M19" s="31"/>
      <c r="N19" s="31"/>
      <c r="O19" s="31"/>
      <c r="P19" s="28"/>
      <c r="Q19" s="28"/>
    </row>
    <row r="20" customFormat="false" ht="15" hidden="false" customHeight="true" outlineLevel="0" collapsed="false">
      <c r="A20" s="28" t="s">
        <v>84</v>
      </c>
      <c r="B20" s="29" t="s">
        <v>30</v>
      </c>
      <c r="C20" s="29" t="s">
        <v>36</v>
      </c>
      <c r="D20" s="29" t="n">
        <v>4</v>
      </c>
      <c r="E20" s="28"/>
      <c r="F20" s="28"/>
      <c r="G20" s="28"/>
      <c r="H20" s="28"/>
      <c r="I20" s="28"/>
      <c r="J20" s="28"/>
      <c r="K20" s="28"/>
      <c r="L20" s="31"/>
      <c r="M20" s="31"/>
      <c r="N20" s="31"/>
      <c r="O20" s="31"/>
      <c r="P20" s="28"/>
      <c r="Q20" s="28"/>
    </row>
    <row r="21" customFormat="false" ht="15" hidden="false" customHeight="true" outlineLevel="0" collapsed="false">
      <c r="A21" s="28" t="s">
        <v>85</v>
      </c>
      <c r="B21" s="29" t="s">
        <v>30</v>
      </c>
      <c r="C21" s="29" t="s">
        <v>36</v>
      </c>
      <c r="D21" s="29" t="n">
        <v>4</v>
      </c>
      <c r="E21" s="28"/>
      <c r="F21" s="28"/>
      <c r="G21" s="28"/>
      <c r="H21" s="28"/>
      <c r="I21" s="28"/>
      <c r="J21" s="28"/>
      <c r="K21" s="28"/>
      <c r="L21" s="31"/>
      <c r="M21" s="31"/>
      <c r="N21" s="31"/>
      <c r="O21" s="31"/>
      <c r="P21" s="28"/>
      <c r="Q21" s="28"/>
    </row>
    <row r="22" customFormat="false" ht="15" hidden="false" customHeight="true" outlineLevel="0" collapsed="false">
      <c r="A22" s="28" t="s">
        <v>86</v>
      </c>
      <c r="B22" s="29" t="s">
        <v>13</v>
      </c>
      <c r="C22" s="29" t="s">
        <v>41</v>
      </c>
      <c r="D22" s="29" t="n">
        <v>6</v>
      </c>
      <c r="E22" s="31"/>
      <c r="F22" s="31"/>
      <c r="G22" s="28"/>
      <c r="H22" s="28"/>
      <c r="I22" s="28"/>
      <c r="J22" s="28"/>
      <c r="K22" s="31"/>
      <c r="L22" s="28"/>
      <c r="M22" s="28"/>
      <c r="N22" s="31"/>
      <c r="O22" s="31"/>
      <c r="P22" s="31"/>
      <c r="Q22" s="28"/>
    </row>
    <row r="23" customFormat="false" ht="15" hidden="false" customHeight="true" outlineLevel="0" collapsed="false">
      <c r="A23" s="28" t="s">
        <v>87</v>
      </c>
      <c r="B23" s="29" t="s">
        <v>35</v>
      </c>
      <c r="C23" s="29" t="s">
        <v>41</v>
      </c>
      <c r="D23" s="29" t="n">
        <v>3</v>
      </c>
      <c r="E23" s="28"/>
      <c r="F23" s="28"/>
      <c r="G23" s="28"/>
      <c r="H23" s="28"/>
      <c r="I23" s="28"/>
      <c r="J23" s="28"/>
      <c r="K23" s="28"/>
      <c r="L23" s="28"/>
      <c r="M23" s="28"/>
      <c r="N23" s="31"/>
      <c r="O23" s="31"/>
      <c r="P23" s="31"/>
      <c r="Q23" s="28"/>
    </row>
    <row r="24" customFormat="false" ht="15" hidden="false" customHeight="true" outlineLevel="0" collapsed="false">
      <c r="A24" s="25" t="s">
        <v>88</v>
      </c>
      <c r="B24" s="26"/>
      <c r="C24" s="26"/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customFormat="false" ht="17.25" hidden="false" customHeight="true" outlineLevel="0" collapsed="false">
      <c r="A25" s="28" t="s">
        <v>89</v>
      </c>
      <c r="B25" s="29" t="s">
        <v>17</v>
      </c>
      <c r="C25" s="29" t="s">
        <v>17</v>
      </c>
      <c r="D25" s="29"/>
      <c r="E25" s="28"/>
      <c r="F25" s="28"/>
      <c r="G25" s="32" t="s">
        <v>90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</row>
    <row r="26" customFormat="false" ht="17.25" hidden="false" customHeight="true" outlineLevel="0" collapsed="false">
      <c r="A26" s="28" t="s">
        <v>91</v>
      </c>
      <c r="B26" s="29" t="s">
        <v>30</v>
      </c>
      <c r="C26" s="29" t="s">
        <v>30</v>
      </c>
      <c r="D26" s="29"/>
      <c r="E26" s="28"/>
      <c r="F26" s="28"/>
      <c r="G26" s="28"/>
      <c r="H26" s="28"/>
      <c r="I26" s="28"/>
      <c r="J26" s="28"/>
      <c r="K26" s="28"/>
      <c r="L26" s="32" t="s">
        <v>90</v>
      </c>
      <c r="M26" s="28"/>
      <c r="N26" s="28"/>
      <c r="O26" s="28"/>
      <c r="P26" s="28"/>
      <c r="Q26" s="28"/>
    </row>
    <row r="27" customFormat="false" ht="17.25" hidden="false" customHeight="true" outlineLevel="0" collapsed="false">
      <c r="A27" s="28" t="s">
        <v>92</v>
      </c>
      <c r="B27" s="29" t="s">
        <v>39</v>
      </c>
      <c r="C27" s="29" t="s">
        <v>39</v>
      </c>
      <c r="D27" s="29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2" t="s">
        <v>90</v>
      </c>
      <c r="Q27" s="28"/>
    </row>
    <row r="28" customFormat="false" ht="17.25" hidden="false" customHeight="true" outlineLevel="0" collapsed="false">
      <c r="A28" s="28" t="s">
        <v>93</v>
      </c>
      <c r="B28" s="29" t="s">
        <v>44</v>
      </c>
      <c r="C28" s="29" t="s">
        <v>44</v>
      </c>
      <c r="D28" s="29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32" t="s">
        <v>90</v>
      </c>
    </row>
    <row r="29" customFormat="false" ht="15" hidden="false" customHeight="true" outlineLevel="0" collapsed="false">
      <c r="A29" s="28" t="s">
        <v>94</v>
      </c>
      <c r="B29" s="29" t="s">
        <v>95</v>
      </c>
      <c r="C29" s="29" t="s">
        <v>95</v>
      </c>
      <c r="D29" s="29"/>
      <c r="E29" s="28"/>
      <c r="F29" s="28"/>
      <c r="G29" s="28"/>
      <c r="H29" s="33" t="s">
        <v>96</v>
      </c>
      <c r="I29" s="28"/>
      <c r="J29" s="28"/>
      <c r="K29" s="28"/>
      <c r="L29" s="28"/>
      <c r="M29" s="28"/>
      <c r="N29" s="28"/>
      <c r="O29" s="28"/>
      <c r="P29" s="28"/>
      <c r="Q29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70"/>
    <col collapsed="false" customWidth="true" hidden="false" outlineLevel="0" max="5" min="4" style="1" width="12"/>
  </cols>
  <sheetData>
    <row r="1" customFormat="false" ht="23.25" hidden="false" customHeight="true" outlineLevel="0" collapsed="false">
      <c r="A1" s="4" t="s">
        <v>97</v>
      </c>
      <c r="B1" s="4" t="s">
        <v>98</v>
      </c>
      <c r="C1" s="4" t="s">
        <v>99</v>
      </c>
      <c r="D1" s="4" t="s">
        <v>100</v>
      </c>
      <c r="E1" s="4" t="s">
        <v>11</v>
      </c>
    </row>
    <row r="2" customFormat="false" ht="15" hidden="false" customHeight="true" outlineLevel="0" collapsed="false">
      <c r="A2" s="34" t="s">
        <v>101</v>
      </c>
      <c r="B2" s="34" t="s">
        <v>102</v>
      </c>
      <c r="C2" s="34" t="s">
        <v>103</v>
      </c>
      <c r="D2" s="35" t="n">
        <f aca="false">COUNTIF(Backlog!$C$2:$C$38,A2)</f>
        <v>4</v>
      </c>
      <c r="E2" s="35" t="n">
        <f aca="false">SUMIF(Tâches!$C$2:$C$186,A2&amp;" "&amp;B2,Tâches!$G$2:$G$186)</f>
        <v>29.5</v>
      </c>
    </row>
    <row r="3" customFormat="false" ht="23.25" hidden="false" customHeight="true" outlineLevel="0" collapsed="false">
      <c r="A3" s="34" t="s">
        <v>104</v>
      </c>
      <c r="B3" s="34" t="s">
        <v>105</v>
      </c>
      <c r="C3" s="34" t="s">
        <v>106</v>
      </c>
      <c r="D3" s="35" t="n">
        <f aca="false">COUNTIF(Backlog!$C$2:$C$38,A3)</f>
        <v>4</v>
      </c>
      <c r="E3" s="35" t="n">
        <f aca="false">SUMIF(Tâches!$C$2:$C$186,A3&amp;" "&amp;B3,Tâches!$G$2:$G$186)</f>
        <v>25</v>
      </c>
    </row>
    <row r="4" customFormat="false" ht="23.25" hidden="false" customHeight="true" outlineLevel="0" collapsed="false">
      <c r="A4" s="34" t="s">
        <v>107</v>
      </c>
      <c r="B4" s="34" t="s">
        <v>108</v>
      </c>
      <c r="C4" s="34" t="s">
        <v>109</v>
      </c>
      <c r="D4" s="35" t="n">
        <f aca="false">COUNTIF(Backlog!$C$2:$C$38,A4)</f>
        <v>5</v>
      </c>
      <c r="E4" s="35" t="n">
        <f aca="false">SUMIF(Tâches!$C$2:$C$186,A4&amp;" "&amp;B4,Tâches!$G$2:$G$186)</f>
        <v>51</v>
      </c>
    </row>
    <row r="5" customFormat="false" ht="15" hidden="false" customHeight="true" outlineLevel="0" collapsed="false">
      <c r="A5" s="34" t="s">
        <v>110</v>
      </c>
      <c r="B5" s="34" t="s">
        <v>111</v>
      </c>
      <c r="C5" s="34" t="s">
        <v>112</v>
      </c>
      <c r="D5" s="35" t="n">
        <f aca="false">COUNTIF(Backlog!$C$2:$C$38,A5)</f>
        <v>2</v>
      </c>
      <c r="E5" s="35" t="n">
        <f aca="false">SUMIF(Tâches!$C$2:$C$186,A5&amp;" "&amp;B5,Tâches!$G$2:$G$186)</f>
        <v>23.5</v>
      </c>
    </row>
    <row r="6" customFormat="false" ht="15" hidden="false" customHeight="true" outlineLevel="0" collapsed="false">
      <c r="A6" s="34" t="s">
        <v>113</v>
      </c>
      <c r="B6" s="34" t="s">
        <v>114</v>
      </c>
      <c r="C6" s="34" t="s">
        <v>115</v>
      </c>
      <c r="D6" s="35" t="n">
        <f aca="false">COUNTIF(Backlog!$C$2:$C$38,A6)</f>
        <v>2</v>
      </c>
      <c r="E6" s="35" t="n">
        <f aca="false">SUMIF(Tâches!$C$2:$C$186,A6&amp;" "&amp;B6,Tâches!$G$2:$G$186)</f>
        <v>11</v>
      </c>
    </row>
    <row r="7" customFormat="false" ht="15" hidden="false" customHeight="true" outlineLevel="0" collapsed="false">
      <c r="A7" s="34" t="s">
        <v>116</v>
      </c>
      <c r="B7" s="34" t="s">
        <v>117</v>
      </c>
      <c r="C7" s="34" t="s">
        <v>118</v>
      </c>
      <c r="D7" s="35" t="n">
        <f aca="false">COUNTIF(Backlog!$C$2:$C$38,A7)</f>
        <v>8</v>
      </c>
      <c r="E7" s="35" t="n">
        <f aca="false">SUMIF(Tâches!$C$2:$C$186,A7&amp;" "&amp;B7,Tâches!$G$2:$G$186)</f>
        <v>58.5</v>
      </c>
    </row>
    <row r="8" customFormat="false" ht="15" hidden="false" customHeight="true" outlineLevel="0" collapsed="false">
      <c r="A8" s="34" t="s">
        <v>119</v>
      </c>
      <c r="B8" s="34" t="s">
        <v>120</v>
      </c>
      <c r="C8" s="34" t="s">
        <v>121</v>
      </c>
      <c r="D8" s="35" t="n">
        <f aca="false">COUNTIF(Backlog!$C$2:$C$38,A8)</f>
        <v>3</v>
      </c>
      <c r="E8" s="35" t="n">
        <f aca="false">SUMIF(Tâches!$C$2:$C$186,A8&amp;" "&amp;B8,Tâches!$G$2:$G$186)</f>
        <v>29</v>
      </c>
    </row>
    <row r="9" customFormat="false" ht="15" hidden="false" customHeight="true" outlineLevel="0" collapsed="false">
      <c r="A9" s="34" t="s">
        <v>122</v>
      </c>
      <c r="B9" s="34" t="s">
        <v>123</v>
      </c>
      <c r="C9" s="34" t="s">
        <v>124</v>
      </c>
      <c r="D9" s="35" t="n">
        <f aca="false">COUNTIF(Backlog!$C$2:$C$38,A9)</f>
        <v>2</v>
      </c>
      <c r="E9" s="35" t="n">
        <f aca="false">SUMIF(Tâches!$C$2:$C$186,A9&amp;" "&amp;B9,Tâches!$G$2:$G$186)</f>
        <v>22</v>
      </c>
    </row>
    <row r="10" customFormat="false" ht="15" hidden="false" customHeight="true" outlineLevel="0" collapsed="false">
      <c r="A10" s="34" t="s">
        <v>125</v>
      </c>
      <c r="B10" s="34" t="s">
        <v>126</v>
      </c>
      <c r="C10" s="34" t="s">
        <v>127</v>
      </c>
      <c r="D10" s="35" t="n">
        <f aca="false">COUNTIF(Backlog!$C$2:$C$38,A10)</f>
        <v>4</v>
      </c>
      <c r="E10" s="35" t="n">
        <f aca="false">SUMIF(Tâches!$C$2:$C$186,A10&amp;" "&amp;B10,Tâches!$G$2:$G$186)</f>
        <v>41.5</v>
      </c>
    </row>
    <row r="11" customFormat="false" ht="23.25" hidden="false" customHeight="true" outlineLevel="0" collapsed="false">
      <c r="A11" s="34" t="s">
        <v>128</v>
      </c>
      <c r="B11" s="34" t="s">
        <v>129</v>
      </c>
      <c r="C11" s="34" t="s">
        <v>130</v>
      </c>
      <c r="D11" s="35" t="n">
        <f aca="false">COUNTIF(Backlog!$C$2:$C$38,A11)</f>
        <v>3</v>
      </c>
      <c r="E11" s="35" t="n">
        <f aca="false">SUMIF(Tâches!$C$2:$C$186,A11&amp;" "&amp;B11,Tâches!$G$2:$G$186)</f>
        <v>24.5</v>
      </c>
    </row>
    <row r="12" customFormat="false" ht="15" hidden="false" customHeight="true" outlineLevel="0" collapsed="false">
      <c r="A12" s="17" t="s">
        <v>45</v>
      </c>
      <c r="D12" s="17" t="n">
        <f aca="false">SUM(D2:D11)</f>
        <v>37</v>
      </c>
      <c r="E12" s="17" t="n">
        <f aca="false">SUM(E2:E11)</f>
        <v>315.5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52"/>
    <col collapsed="false" customWidth="true" hidden="false" outlineLevel="0" max="6" min="6" style="1" width="12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12"/>
  </cols>
  <sheetData>
    <row r="1" customFormat="false" ht="34.5" hidden="false" customHeight="true" outlineLevel="0" collapsed="false">
      <c r="A1" s="4" t="s">
        <v>131</v>
      </c>
      <c r="B1" s="4" t="s">
        <v>132</v>
      </c>
      <c r="C1" s="4" t="s">
        <v>98</v>
      </c>
      <c r="D1" s="4" t="s">
        <v>2</v>
      </c>
      <c r="E1" s="4" t="s">
        <v>133</v>
      </c>
      <c r="F1" s="4" t="s">
        <v>134</v>
      </c>
      <c r="G1" s="4" t="s">
        <v>135</v>
      </c>
      <c r="H1" s="4" t="s">
        <v>10</v>
      </c>
      <c r="I1" s="4" t="s">
        <v>11</v>
      </c>
    </row>
    <row r="2" customFormat="false" ht="23.25" hidden="false" customHeight="true" outlineLevel="0" collapsed="false">
      <c r="A2" s="5" t="s">
        <v>136</v>
      </c>
      <c r="B2" s="5" t="s">
        <v>137</v>
      </c>
      <c r="C2" s="5" t="s">
        <v>101</v>
      </c>
      <c r="D2" s="5" t="s">
        <v>12</v>
      </c>
      <c r="E2" s="5" t="s">
        <v>138</v>
      </c>
      <c r="F2" s="5" t="s">
        <v>139</v>
      </c>
      <c r="G2" s="5" t="n">
        <v>3</v>
      </c>
      <c r="H2" s="35" t="n">
        <f aca="false">COUNTIF(Tâches!$B$2:$B$186,A2)</f>
        <v>3</v>
      </c>
      <c r="I2" s="35" t="n">
        <f aca="false">SUMIF(Tâches!$B$2:$B$186,A2,Tâches!$G$2:$G$186)</f>
        <v>3.5</v>
      </c>
    </row>
    <row r="3" customFormat="false" ht="23.25" hidden="false" customHeight="true" outlineLevel="0" collapsed="false">
      <c r="A3" s="5" t="s">
        <v>140</v>
      </c>
      <c r="B3" s="5" t="s">
        <v>141</v>
      </c>
      <c r="C3" s="5" t="s">
        <v>104</v>
      </c>
      <c r="D3" s="5" t="s">
        <v>12</v>
      </c>
      <c r="E3" s="5" t="s">
        <v>142</v>
      </c>
      <c r="F3" s="5" t="s">
        <v>139</v>
      </c>
      <c r="G3" s="5" t="n">
        <v>3</v>
      </c>
      <c r="H3" s="35" t="n">
        <f aca="false">COUNTIF(Tâches!$B$2:$B$186,A3)</f>
        <v>3</v>
      </c>
      <c r="I3" s="35" t="n">
        <f aca="false">SUMIF(Tâches!$B$2:$B$186,A3,Tâches!$G$2:$G$186)</f>
        <v>5</v>
      </c>
    </row>
    <row r="4" customFormat="false" ht="23.25" hidden="false" customHeight="true" outlineLevel="0" collapsed="false">
      <c r="A4" s="5" t="s">
        <v>143</v>
      </c>
      <c r="B4" s="5" t="s">
        <v>144</v>
      </c>
      <c r="C4" s="5" t="s">
        <v>104</v>
      </c>
      <c r="D4" s="5" t="s">
        <v>12</v>
      </c>
      <c r="E4" s="5" t="s">
        <v>145</v>
      </c>
      <c r="F4" s="5" t="s">
        <v>139</v>
      </c>
      <c r="G4" s="5" t="n">
        <v>2</v>
      </c>
      <c r="H4" s="35" t="n">
        <f aca="false">COUNTIF(Tâches!$B$2:$B$186,A4)</f>
        <v>3</v>
      </c>
      <c r="I4" s="35" t="n">
        <f aca="false">SUMIF(Tâches!$B$2:$B$186,A4,Tâches!$G$2:$G$186)</f>
        <v>3.5</v>
      </c>
    </row>
    <row r="5" customFormat="false" ht="34.5" hidden="false" customHeight="true" outlineLevel="0" collapsed="false">
      <c r="A5" s="5" t="s">
        <v>146</v>
      </c>
      <c r="B5" s="5" t="s">
        <v>147</v>
      </c>
      <c r="C5" s="5" t="s">
        <v>104</v>
      </c>
      <c r="D5" s="5" t="s">
        <v>12</v>
      </c>
      <c r="E5" s="5" t="s">
        <v>148</v>
      </c>
      <c r="F5" s="5" t="s">
        <v>139</v>
      </c>
      <c r="G5" s="5" t="n">
        <v>8</v>
      </c>
      <c r="H5" s="35" t="n">
        <f aca="false">COUNTIF(Tâches!$B$2:$B$186,A5)</f>
        <v>10</v>
      </c>
      <c r="I5" s="35" t="n">
        <f aca="false">SUMIF(Tâches!$B$2:$B$186,A5,Tâches!$G$2:$G$186)</f>
        <v>13</v>
      </c>
    </row>
    <row r="6" customFormat="false" ht="23.25" hidden="false" customHeight="true" outlineLevel="0" collapsed="false">
      <c r="A6" s="5" t="s">
        <v>149</v>
      </c>
      <c r="B6" s="5" t="s">
        <v>150</v>
      </c>
      <c r="C6" s="5" t="s">
        <v>104</v>
      </c>
      <c r="D6" s="5" t="s">
        <v>12</v>
      </c>
      <c r="E6" s="5" t="s">
        <v>151</v>
      </c>
      <c r="F6" s="5" t="s">
        <v>152</v>
      </c>
      <c r="G6" s="5" t="n">
        <v>3</v>
      </c>
      <c r="H6" s="35" t="n">
        <f aca="false">COUNTIF(Tâches!$B$2:$B$186,A6)</f>
        <v>2</v>
      </c>
      <c r="I6" s="35" t="n">
        <f aca="false">SUMIF(Tâches!$B$2:$B$186,A6,Tâches!$G$2:$G$186)</f>
        <v>3.5</v>
      </c>
    </row>
    <row r="7" customFormat="false" ht="23.25" hidden="false" customHeight="true" outlineLevel="0" collapsed="false">
      <c r="A7" s="5" t="s">
        <v>153</v>
      </c>
      <c r="B7" s="5" t="s">
        <v>154</v>
      </c>
      <c r="C7" s="5" t="s">
        <v>101</v>
      </c>
      <c r="D7" s="5" t="s">
        <v>12</v>
      </c>
      <c r="E7" s="5" t="s">
        <v>155</v>
      </c>
      <c r="F7" s="5" t="s">
        <v>139</v>
      </c>
      <c r="G7" s="5" t="n">
        <v>2</v>
      </c>
      <c r="H7" s="35" t="n">
        <f aca="false">COUNTIF(Tâches!$B$2:$B$186,A7)</f>
        <v>2</v>
      </c>
      <c r="I7" s="35" t="n">
        <f aca="false">SUMIF(Tâches!$B$2:$B$186,A7,Tâches!$G$2:$G$186)</f>
        <v>3.5</v>
      </c>
    </row>
    <row r="8" customFormat="false" ht="23.25" hidden="false" customHeight="true" outlineLevel="0" collapsed="false">
      <c r="A8" s="5" t="s">
        <v>156</v>
      </c>
      <c r="B8" s="5" t="s">
        <v>157</v>
      </c>
      <c r="C8" s="5" t="s">
        <v>101</v>
      </c>
      <c r="D8" s="5" t="s">
        <v>12</v>
      </c>
      <c r="E8" s="5" t="s">
        <v>158</v>
      </c>
      <c r="F8" s="5" t="s">
        <v>139</v>
      </c>
      <c r="G8" s="5" t="n">
        <v>5</v>
      </c>
      <c r="H8" s="35" t="n">
        <f aca="false">COUNTIF(Tâches!$B$2:$B$186,A8)</f>
        <v>4</v>
      </c>
      <c r="I8" s="35" t="n">
        <f aca="false">SUMIF(Tâches!$B$2:$B$186,A8,Tâches!$G$2:$G$186)</f>
        <v>9.5</v>
      </c>
    </row>
    <row r="9" customFormat="false" ht="23.25" hidden="false" customHeight="true" outlineLevel="0" collapsed="false">
      <c r="A9" s="5" t="s">
        <v>159</v>
      </c>
      <c r="B9" s="5" t="s">
        <v>160</v>
      </c>
      <c r="C9" s="5" t="s">
        <v>125</v>
      </c>
      <c r="D9" s="5" t="s">
        <v>12</v>
      </c>
      <c r="E9" s="5" t="s">
        <v>161</v>
      </c>
      <c r="F9" s="5" t="s">
        <v>139</v>
      </c>
      <c r="G9" s="5" t="n">
        <v>3</v>
      </c>
      <c r="H9" s="35" t="n">
        <f aca="false">COUNTIF(Tâches!$B$2:$B$186,A9)</f>
        <v>5</v>
      </c>
      <c r="I9" s="35" t="n">
        <f aca="false">SUMIF(Tâches!$B$2:$B$186,A9,Tâches!$G$2:$G$186)</f>
        <v>7</v>
      </c>
    </row>
    <row r="10" customFormat="false" ht="23.25" hidden="false" customHeight="true" outlineLevel="0" collapsed="false">
      <c r="A10" s="8" t="s">
        <v>162</v>
      </c>
      <c r="B10" s="8" t="s">
        <v>163</v>
      </c>
      <c r="C10" s="8" t="s">
        <v>107</v>
      </c>
      <c r="D10" s="8" t="s">
        <v>18</v>
      </c>
      <c r="E10" s="8" t="s">
        <v>164</v>
      </c>
      <c r="F10" s="8" t="s">
        <v>139</v>
      </c>
      <c r="G10" s="8" t="n">
        <v>5</v>
      </c>
      <c r="H10" s="35" t="n">
        <f aca="false">COUNTIF(Tâches!$B$2:$B$186,A10)</f>
        <v>5</v>
      </c>
      <c r="I10" s="35" t="n">
        <f aca="false">SUMIF(Tâches!$B$2:$B$186,A10,Tâches!$G$2:$G$186)</f>
        <v>8.5</v>
      </c>
    </row>
    <row r="11" customFormat="false" ht="23.25" hidden="false" customHeight="true" outlineLevel="0" collapsed="false">
      <c r="A11" s="8" t="s">
        <v>165</v>
      </c>
      <c r="B11" s="8" t="s">
        <v>166</v>
      </c>
      <c r="C11" s="8" t="s">
        <v>107</v>
      </c>
      <c r="D11" s="8" t="s">
        <v>18</v>
      </c>
      <c r="E11" s="8" t="s">
        <v>167</v>
      </c>
      <c r="F11" s="8" t="s">
        <v>139</v>
      </c>
      <c r="G11" s="8" t="n">
        <v>8</v>
      </c>
      <c r="H11" s="35" t="n">
        <f aca="false">COUNTIF(Tâches!$B$2:$B$186,A11)</f>
        <v>8</v>
      </c>
      <c r="I11" s="35" t="n">
        <f aca="false">SUMIF(Tâches!$B$2:$B$186,A11,Tâches!$G$2:$G$186)</f>
        <v>12.5</v>
      </c>
    </row>
    <row r="12" customFormat="false" ht="34.5" hidden="false" customHeight="true" outlineLevel="0" collapsed="false">
      <c r="A12" s="8" t="s">
        <v>168</v>
      </c>
      <c r="B12" s="8" t="s">
        <v>169</v>
      </c>
      <c r="C12" s="8" t="s">
        <v>107</v>
      </c>
      <c r="D12" s="8" t="s">
        <v>18</v>
      </c>
      <c r="E12" s="8" t="s">
        <v>170</v>
      </c>
      <c r="F12" s="8" t="s">
        <v>139</v>
      </c>
      <c r="G12" s="8" t="n">
        <v>5</v>
      </c>
      <c r="H12" s="35" t="n">
        <f aca="false">COUNTIF(Tâches!$B$2:$B$186,A12)</f>
        <v>5</v>
      </c>
      <c r="I12" s="35" t="n">
        <f aca="false">SUMIF(Tâches!$B$2:$B$186,A12,Tâches!$G$2:$G$186)</f>
        <v>9.5</v>
      </c>
    </row>
    <row r="13" customFormat="false" ht="23.25" hidden="false" customHeight="true" outlineLevel="0" collapsed="false">
      <c r="A13" s="8" t="s">
        <v>171</v>
      </c>
      <c r="B13" s="8" t="s">
        <v>172</v>
      </c>
      <c r="C13" s="8" t="s">
        <v>110</v>
      </c>
      <c r="D13" s="8" t="s">
        <v>21</v>
      </c>
      <c r="E13" s="8" t="s">
        <v>173</v>
      </c>
      <c r="F13" s="8" t="s">
        <v>139</v>
      </c>
      <c r="G13" s="8" t="n">
        <v>8</v>
      </c>
      <c r="H13" s="35" t="n">
        <f aca="false">COUNTIF(Tâches!$B$2:$B$186,A13)</f>
        <v>11</v>
      </c>
      <c r="I13" s="35" t="n">
        <f aca="false">SUMIF(Tâches!$B$2:$B$186,A13,Tâches!$G$2:$G$186)</f>
        <v>15.5</v>
      </c>
    </row>
    <row r="14" customFormat="false" ht="23.25" hidden="false" customHeight="true" outlineLevel="0" collapsed="false">
      <c r="A14" s="8" t="s">
        <v>174</v>
      </c>
      <c r="B14" s="8" t="s">
        <v>175</v>
      </c>
      <c r="C14" s="8" t="s">
        <v>110</v>
      </c>
      <c r="D14" s="8" t="s">
        <v>21</v>
      </c>
      <c r="E14" s="8" t="s">
        <v>176</v>
      </c>
      <c r="F14" s="8" t="s">
        <v>139</v>
      </c>
      <c r="G14" s="8" t="n">
        <v>5</v>
      </c>
      <c r="H14" s="35" t="n">
        <f aca="false">COUNTIF(Tâches!$B$2:$B$186,A14)</f>
        <v>4</v>
      </c>
      <c r="I14" s="35" t="n">
        <f aca="false">SUMIF(Tâches!$B$2:$B$186,A14,Tâches!$G$2:$G$186)</f>
        <v>8</v>
      </c>
    </row>
    <row r="15" customFormat="false" ht="23.25" hidden="false" customHeight="true" outlineLevel="0" collapsed="false">
      <c r="A15" s="8" t="s">
        <v>177</v>
      </c>
      <c r="B15" s="8" t="s">
        <v>178</v>
      </c>
      <c r="C15" s="8" t="s">
        <v>113</v>
      </c>
      <c r="D15" s="8" t="s">
        <v>25</v>
      </c>
      <c r="E15" s="8" t="s">
        <v>179</v>
      </c>
      <c r="F15" s="8" t="s">
        <v>139</v>
      </c>
      <c r="G15" s="8" t="n">
        <v>5</v>
      </c>
      <c r="H15" s="35" t="n">
        <f aca="false">COUNTIF(Tâches!$B$2:$B$186,A15)</f>
        <v>6</v>
      </c>
      <c r="I15" s="35" t="n">
        <f aca="false">SUMIF(Tâches!$B$2:$B$186,A15,Tâches!$G$2:$G$186)</f>
        <v>6</v>
      </c>
    </row>
    <row r="16" customFormat="false" ht="23.25" hidden="false" customHeight="true" outlineLevel="0" collapsed="false">
      <c r="A16" s="8" t="s">
        <v>180</v>
      </c>
      <c r="B16" s="8" t="s">
        <v>181</v>
      </c>
      <c r="C16" s="8" t="s">
        <v>113</v>
      </c>
      <c r="D16" s="8" t="s">
        <v>25</v>
      </c>
      <c r="E16" s="8" t="s">
        <v>182</v>
      </c>
      <c r="F16" s="8" t="s">
        <v>139</v>
      </c>
      <c r="G16" s="8" t="n">
        <v>3</v>
      </c>
      <c r="H16" s="35" t="n">
        <f aca="false">COUNTIF(Tâches!$B$2:$B$186,A16)</f>
        <v>3</v>
      </c>
      <c r="I16" s="35" t="n">
        <f aca="false">SUMIF(Tâches!$B$2:$B$186,A16,Tâches!$G$2:$G$186)</f>
        <v>5</v>
      </c>
    </row>
    <row r="17" customFormat="false" ht="23.25" hidden="false" customHeight="true" outlineLevel="0" collapsed="false">
      <c r="A17" s="8" t="s">
        <v>183</v>
      </c>
      <c r="B17" s="8" t="s">
        <v>184</v>
      </c>
      <c r="C17" s="8" t="s">
        <v>125</v>
      </c>
      <c r="D17" s="8" t="s">
        <v>25</v>
      </c>
      <c r="E17" s="8" t="s">
        <v>185</v>
      </c>
      <c r="F17" s="8" t="s">
        <v>139</v>
      </c>
      <c r="G17" s="8" t="n">
        <v>5</v>
      </c>
      <c r="H17" s="35" t="n">
        <f aca="false">COUNTIF(Tâches!$B$2:$B$186,A17)</f>
        <v>5</v>
      </c>
      <c r="I17" s="35" t="n">
        <f aca="false">SUMIF(Tâches!$B$2:$B$186,A17,Tâches!$G$2:$G$186)</f>
        <v>10</v>
      </c>
    </row>
    <row r="18" customFormat="false" ht="23.25" hidden="false" customHeight="true" outlineLevel="0" collapsed="false">
      <c r="A18" s="11" t="s">
        <v>186</v>
      </c>
      <c r="B18" s="11" t="s">
        <v>187</v>
      </c>
      <c r="C18" s="11" t="s">
        <v>116</v>
      </c>
      <c r="D18" s="11" t="s">
        <v>31</v>
      </c>
      <c r="E18" s="11" t="s">
        <v>188</v>
      </c>
      <c r="F18" s="11" t="s">
        <v>139</v>
      </c>
      <c r="G18" s="11" t="n">
        <v>8</v>
      </c>
      <c r="H18" s="35" t="n">
        <f aca="false">COUNTIF(Tâches!$B$2:$B$186,A18)</f>
        <v>7</v>
      </c>
      <c r="I18" s="35" t="n">
        <f aca="false">SUMIF(Tâches!$B$2:$B$186,A18,Tâches!$G$2:$G$186)</f>
        <v>13</v>
      </c>
    </row>
    <row r="19" customFormat="false" ht="23.25" hidden="false" customHeight="true" outlineLevel="0" collapsed="false">
      <c r="A19" s="11" t="s">
        <v>189</v>
      </c>
      <c r="B19" s="11" t="s">
        <v>190</v>
      </c>
      <c r="C19" s="11" t="s">
        <v>116</v>
      </c>
      <c r="D19" s="11" t="s">
        <v>31</v>
      </c>
      <c r="E19" s="11" t="s">
        <v>191</v>
      </c>
      <c r="F19" s="11" t="s">
        <v>139</v>
      </c>
      <c r="G19" s="11" t="n">
        <v>8</v>
      </c>
      <c r="H19" s="35" t="n">
        <f aca="false">COUNTIF(Tâches!$B$2:$B$186,A19)</f>
        <v>5</v>
      </c>
      <c r="I19" s="35" t="n">
        <f aca="false">SUMIF(Tâches!$B$2:$B$186,A19,Tâches!$G$2:$G$186)</f>
        <v>9</v>
      </c>
    </row>
    <row r="20" customFormat="false" ht="23.25" hidden="false" customHeight="true" outlineLevel="0" collapsed="false">
      <c r="A20" s="11" t="s">
        <v>192</v>
      </c>
      <c r="B20" s="11" t="s">
        <v>193</v>
      </c>
      <c r="C20" s="11" t="s">
        <v>116</v>
      </c>
      <c r="D20" s="11" t="s">
        <v>31</v>
      </c>
      <c r="E20" s="11" t="s">
        <v>194</v>
      </c>
      <c r="F20" s="11" t="s">
        <v>139</v>
      </c>
      <c r="G20" s="11" t="n">
        <v>5</v>
      </c>
      <c r="H20" s="35" t="n">
        <f aca="false">COUNTIF(Tâches!$B$2:$B$186,A20)</f>
        <v>4</v>
      </c>
      <c r="I20" s="35" t="n">
        <f aca="false">SUMIF(Tâches!$B$2:$B$186,A20,Tâches!$G$2:$G$186)</f>
        <v>6</v>
      </c>
    </row>
    <row r="21" customFormat="false" ht="23.25" hidden="false" customHeight="true" outlineLevel="0" collapsed="false">
      <c r="A21" s="11" t="s">
        <v>195</v>
      </c>
      <c r="B21" s="11" t="s">
        <v>196</v>
      </c>
      <c r="C21" s="11" t="s">
        <v>122</v>
      </c>
      <c r="D21" s="11" t="s">
        <v>31</v>
      </c>
      <c r="E21" s="11" t="s">
        <v>197</v>
      </c>
      <c r="F21" s="11" t="s">
        <v>152</v>
      </c>
      <c r="G21" s="11" t="n">
        <v>5</v>
      </c>
      <c r="H21" s="35" t="n">
        <f aca="false">COUNTIF(Tâches!$B$2:$B$186,A21)</f>
        <v>5</v>
      </c>
      <c r="I21" s="35" t="n">
        <f aca="false">SUMIF(Tâches!$B$2:$B$186,A21,Tâches!$G$2:$G$186)</f>
        <v>9</v>
      </c>
    </row>
    <row r="22" customFormat="false" ht="23.25" hidden="false" customHeight="true" outlineLevel="0" collapsed="false">
      <c r="A22" s="11" t="s">
        <v>198</v>
      </c>
      <c r="B22" s="11" t="s">
        <v>199</v>
      </c>
      <c r="C22" s="11" t="s">
        <v>116</v>
      </c>
      <c r="D22" s="11" t="s">
        <v>31</v>
      </c>
      <c r="E22" s="11" t="s">
        <v>200</v>
      </c>
      <c r="F22" s="11" t="s">
        <v>139</v>
      </c>
      <c r="G22" s="11" t="n">
        <v>5</v>
      </c>
      <c r="H22" s="35" t="n">
        <f aca="false">COUNTIF(Tâches!$B$2:$B$186,A22)</f>
        <v>3</v>
      </c>
      <c r="I22" s="35" t="n">
        <f aca="false">SUMIF(Tâches!$B$2:$B$186,A22,Tâches!$G$2:$G$186)</f>
        <v>5.5</v>
      </c>
    </row>
    <row r="23" customFormat="false" ht="23.25" hidden="false" customHeight="true" outlineLevel="0" collapsed="false">
      <c r="A23" s="11" t="s">
        <v>201</v>
      </c>
      <c r="B23" s="11" t="s">
        <v>202</v>
      </c>
      <c r="C23" s="11" t="s">
        <v>116</v>
      </c>
      <c r="D23" s="11" t="s">
        <v>34</v>
      </c>
      <c r="E23" s="11" t="s">
        <v>203</v>
      </c>
      <c r="F23" s="11" t="s">
        <v>139</v>
      </c>
      <c r="G23" s="11" t="n">
        <v>5</v>
      </c>
      <c r="H23" s="35" t="n">
        <f aca="false">COUNTIF(Tâches!$B$2:$B$186,A23)</f>
        <v>4</v>
      </c>
      <c r="I23" s="35" t="n">
        <f aca="false">SUMIF(Tâches!$B$2:$B$186,A23,Tâches!$G$2:$G$186)</f>
        <v>8</v>
      </c>
    </row>
    <row r="24" customFormat="false" ht="23.25" hidden="false" customHeight="true" outlineLevel="0" collapsed="false">
      <c r="A24" s="11" t="s">
        <v>204</v>
      </c>
      <c r="B24" s="11" t="s">
        <v>205</v>
      </c>
      <c r="C24" s="11" t="s">
        <v>119</v>
      </c>
      <c r="D24" s="11" t="s">
        <v>34</v>
      </c>
      <c r="E24" s="11" t="s">
        <v>206</v>
      </c>
      <c r="F24" s="11" t="s">
        <v>139</v>
      </c>
      <c r="G24" s="11" t="n">
        <v>8</v>
      </c>
      <c r="H24" s="35" t="n">
        <f aca="false">COUNTIF(Tâches!$B$2:$B$186,A24)</f>
        <v>8</v>
      </c>
      <c r="I24" s="35" t="n">
        <f aca="false">SUMIF(Tâches!$B$2:$B$186,A24,Tâches!$G$2:$G$186)</f>
        <v>12.5</v>
      </c>
    </row>
    <row r="25" customFormat="false" ht="23.25" hidden="false" customHeight="true" outlineLevel="0" collapsed="false">
      <c r="A25" s="11" t="s">
        <v>207</v>
      </c>
      <c r="B25" s="11" t="s">
        <v>208</v>
      </c>
      <c r="C25" s="11" t="s">
        <v>122</v>
      </c>
      <c r="D25" s="11" t="s">
        <v>34</v>
      </c>
      <c r="E25" s="11" t="s">
        <v>209</v>
      </c>
      <c r="F25" s="11" t="s">
        <v>139</v>
      </c>
      <c r="G25" s="11" t="n">
        <v>8</v>
      </c>
      <c r="H25" s="35" t="n">
        <f aca="false">COUNTIF(Tâches!$B$2:$B$186,A25)</f>
        <v>6</v>
      </c>
      <c r="I25" s="35" t="n">
        <f aca="false">SUMIF(Tâches!$B$2:$B$186,A25,Tâches!$G$2:$G$186)</f>
        <v>13</v>
      </c>
    </row>
    <row r="26" customFormat="false" ht="23.25" hidden="false" customHeight="true" outlineLevel="0" collapsed="false">
      <c r="A26" s="11" t="s">
        <v>210</v>
      </c>
      <c r="B26" s="11" t="s">
        <v>211</v>
      </c>
      <c r="C26" s="11" t="s">
        <v>125</v>
      </c>
      <c r="D26" s="11" t="s">
        <v>34</v>
      </c>
      <c r="E26" s="11" t="s">
        <v>212</v>
      </c>
      <c r="F26" s="11" t="s">
        <v>139</v>
      </c>
      <c r="G26" s="11" t="n">
        <v>8</v>
      </c>
      <c r="H26" s="35" t="n">
        <f aca="false">COUNTIF(Tâches!$B$2:$B$186,A26)</f>
        <v>5</v>
      </c>
      <c r="I26" s="35" t="n">
        <f aca="false">SUMIF(Tâches!$B$2:$B$186,A26,Tâches!$G$2:$G$186)</f>
        <v>13.5</v>
      </c>
    </row>
    <row r="27" customFormat="false" ht="23.25" hidden="false" customHeight="true" outlineLevel="0" collapsed="false">
      <c r="A27" s="14" t="s">
        <v>213</v>
      </c>
      <c r="B27" s="14" t="s">
        <v>214</v>
      </c>
      <c r="C27" s="14" t="s">
        <v>125</v>
      </c>
      <c r="D27" s="14" t="s">
        <v>40</v>
      </c>
      <c r="E27" s="14" t="s">
        <v>215</v>
      </c>
      <c r="F27" s="14" t="s">
        <v>139</v>
      </c>
      <c r="G27" s="14" t="n">
        <v>5</v>
      </c>
      <c r="H27" s="35" t="n">
        <f aca="false">COUNTIF(Tâches!$B$2:$B$186,A27)</f>
        <v>6</v>
      </c>
      <c r="I27" s="35" t="n">
        <f aca="false">SUMIF(Tâches!$B$2:$B$186,A27,Tâches!$G$2:$G$186)</f>
        <v>11</v>
      </c>
    </row>
    <row r="28" customFormat="false" ht="23.25" hidden="false" customHeight="true" outlineLevel="0" collapsed="false">
      <c r="A28" s="11" t="s">
        <v>216</v>
      </c>
      <c r="B28" s="11" t="s">
        <v>217</v>
      </c>
      <c r="C28" s="11" t="s">
        <v>119</v>
      </c>
      <c r="D28" s="11" t="s">
        <v>31</v>
      </c>
      <c r="E28" s="11" t="s">
        <v>218</v>
      </c>
      <c r="F28" s="11" t="s">
        <v>219</v>
      </c>
      <c r="G28" s="11" t="n">
        <v>5</v>
      </c>
      <c r="H28" s="35" t="n">
        <f aca="false">COUNTIF(Tâches!$B$2:$B$186,A28)</f>
        <v>4</v>
      </c>
      <c r="I28" s="35" t="n">
        <f aca="false">SUMIF(Tâches!$B$2:$B$186,A28,Tâches!$G$2:$G$186)</f>
        <v>7.5</v>
      </c>
    </row>
    <row r="29" customFormat="false" ht="34.5" hidden="false" customHeight="true" outlineLevel="0" collapsed="false">
      <c r="A29" s="11" t="s">
        <v>220</v>
      </c>
      <c r="B29" s="11" t="s">
        <v>221</v>
      </c>
      <c r="C29" s="11" t="s">
        <v>119</v>
      </c>
      <c r="D29" s="11" t="s">
        <v>34</v>
      </c>
      <c r="E29" s="11" t="s">
        <v>222</v>
      </c>
      <c r="F29" s="11" t="s">
        <v>139</v>
      </c>
      <c r="G29" s="11" t="n">
        <v>8</v>
      </c>
      <c r="H29" s="35" t="n">
        <f aca="false">COUNTIF(Tâches!$B$2:$B$186,A29)</f>
        <v>4</v>
      </c>
      <c r="I29" s="35" t="n">
        <f aca="false">SUMIF(Tâches!$B$2:$B$186,A29,Tâches!$G$2:$G$186)</f>
        <v>9</v>
      </c>
    </row>
    <row r="30" customFormat="false" ht="23.25" hidden="false" customHeight="true" outlineLevel="0" collapsed="false">
      <c r="A30" s="11" t="s">
        <v>223</v>
      </c>
      <c r="B30" s="11" t="s">
        <v>224</v>
      </c>
      <c r="C30" s="11" t="s">
        <v>128</v>
      </c>
      <c r="D30" s="11" t="s">
        <v>34</v>
      </c>
      <c r="E30" s="11" t="s">
        <v>225</v>
      </c>
      <c r="F30" s="11" t="s">
        <v>219</v>
      </c>
      <c r="G30" s="11" t="n">
        <v>5</v>
      </c>
      <c r="H30" s="35" t="n">
        <f aca="false">COUNTIF(Tâches!$B$2:$B$186,A30)</f>
        <v>5</v>
      </c>
      <c r="I30" s="35" t="n">
        <f aca="false">SUMIF(Tâches!$B$2:$B$186,A30,Tâches!$G$2:$G$186)</f>
        <v>7.5</v>
      </c>
    </row>
    <row r="31" customFormat="false" ht="23.25" hidden="false" customHeight="true" outlineLevel="0" collapsed="false">
      <c r="A31" s="11" t="s">
        <v>226</v>
      </c>
      <c r="B31" s="11" t="s">
        <v>227</v>
      </c>
      <c r="C31" s="11" t="s">
        <v>128</v>
      </c>
      <c r="D31" s="11" t="s">
        <v>34</v>
      </c>
      <c r="E31" s="11" t="s">
        <v>228</v>
      </c>
      <c r="F31" s="11" t="s">
        <v>139</v>
      </c>
      <c r="G31" s="11" t="n">
        <v>8</v>
      </c>
      <c r="H31" s="35" t="n">
        <f aca="false">COUNTIF(Tâches!$B$2:$B$186,A31)</f>
        <v>6</v>
      </c>
      <c r="I31" s="35" t="n">
        <f aca="false">SUMIF(Tâches!$B$2:$B$186,A31,Tâches!$G$2:$G$186)</f>
        <v>10</v>
      </c>
    </row>
    <row r="32" customFormat="false" ht="34.5" hidden="false" customHeight="true" outlineLevel="0" collapsed="false">
      <c r="A32" s="14" t="s">
        <v>229</v>
      </c>
      <c r="B32" s="14" t="s">
        <v>230</v>
      </c>
      <c r="C32" s="14" t="s">
        <v>128</v>
      </c>
      <c r="D32" s="14" t="s">
        <v>40</v>
      </c>
      <c r="E32" s="14" t="s">
        <v>231</v>
      </c>
      <c r="F32" s="14" t="s">
        <v>219</v>
      </c>
      <c r="G32" s="14" t="n">
        <v>5</v>
      </c>
      <c r="H32" s="35" t="n">
        <f aca="false">COUNTIF(Tâches!$B$2:$B$186,A32)</f>
        <v>4</v>
      </c>
      <c r="I32" s="35" t="n">
        <f aca="false">SUMIF(Tâches!$B$2:$B$186,A32,Tâches!$G$2:$G$186)</f>
        <v>7</v>
      </c>
    </row>
    <row r="33" customFormat="false" ht="23.25" hidden="false" customHeight="true" outlineLevel="0" collapsed="false">
      <c r="A33" s="5" t="s">
        <v>232</v>
      </c>
      <c r="B33" s="5" t="s">
        <v>233</v>
      </c>
      <c r="C33" s="5" t="s">
        <v>107</v>
      </c>
      <c r="D33" s="5" t="s">
        <v>12</v>
      </c>
      <c r="E33" s="5" t="s">
        <v>234</v>
      </c>
      <c r="F33" s="5" t="s">
        <v>139</v>
      </c>
      <c r="G33" s="5" t="n">
        <v>3</v>
      </c>
      <c r="H33" s="35" t="n">
        <f aca="false">COUNTIF(Tâches!$B$2:$B$186,A33)</f>
        <v>4</v>
      </c>
      <c r="I33" s="35" t="n">
        <f aca="false">SUMIF(Tâches!$B$2:$B$186,A33,Tâches!$G$2:$G$186)</f>
        <v>4.5</v>
      </c>
    </row>
    <row r="34" customFormat="false" ht="23.25" hidden="false" customHeight="true" outlineLevel="0" collapsed="false">
      <c r="A34" s="34" t="s">
        <v>235</v>
      </c>
      <c r="B34" s="34" t="s">
        <v>236</v>
      </c>
      <c r="C34" s="34" t="s">
        <v>101</v>
      </c>
      <c r="D34" s="34" t="s">
        <v>237</v>
      </c>
      <c r="E34" s="34" t="s">
        <v>238</v>
      </c>
      <c r="F34" s="34" t="s">
        <v>139</v>
      </c>
      <c r="G34" s="34" t="n">
        <v>3</v>
      </c>
      <c r="H34" s="35" t="n">
        <f aca="false">COUNTIF(Tâches!$B$2:$B$186,A34)</f>
        <v>7</v>
      </c>
      <c r="I34" s="35" t="n">
        <f aca="false">SUMIF(Tâches!$B$2:$B$186,A34,Tâches!$G$2:$G$186)</f>
        <v>13</v>
      </c>
    </row>
    <row r="35" customFormat="false" ht="23.25" hidden="false" customHeight="true" outlineLevel="0" collapsed="false">
      <c r="A35" s="34" t="s">
        <v>239</v>
      </c>
      <c r="B35" s="34" t="s">
        <v>240</v>
      </c>
      <c r="C35" s="34" t="s">
        <v>107</v>
      </c>
      <c r="D35" s="34" t="s">
        <v>18</v>
      </c>
      <c r="E35" s="34" t="s">
        <v>241</v>
      </c>
      <c r="F35" s="34" t="s">
        <v>139</v>
      </c>
      <c r="G35" s="34" t="n">
        <v>5</v>
      </c>
      <c r="H35" s="35" t="n">
        <f aca="false">COUNTIF(Tâches!$B$2:$B$186,A35)</f>
        <v>8</v>
      </c>
      <c r="I35" s="35" t="n">
        <f aca="false">SUMIF(Tâches!$B$2:$B$186,A35,Tâches!$G$2:$G$186)</f>
        <v>16</v>
      </c>
    </row>
    <row r="36" customFormat="false" ht="23.25" hidden="false" customHeight="true" outlineLevel="0" collapsed="false">
      <c r="A36" s="34" t="s">
        <v>242</v>
      </c>
      <c r="B36" s="34" t="s">
        <v>243</v>
      </c>
      <c r="C36" s="34" t="s">
        <v>116</v>
      </c>
      <c r="D36" s="34" t="s">
        <v>31</v>
      </c>
      <c r="E36" s="34" t="s">
        <v>244</v>
      </c>
      <c r="F36" s="34" t="s">
        <v>152</v>
      </c>
      <c r="G36" s="34" t="n">
        <v>8</v>
      </c>
      <c r="H36" s="35" t="n">
        <f aca="false">COUNTIF(Tâches!$B$2:$B$186,A36)</f>
        <v>5</v>
      </c>
      <c r="I36" s="35" t="n">
        <f aca="false">SUMIF(Tâches!$B$2:$B$186,A36,Tâches!$G$2:$G$186)</f>
        <v>8</v>
      </c>
    </row>
    <row r="37" customFormat="false" ht="23.25" hidden="false" customHeight="true" outlineLevel="0" collapsed="false">
      <c r="A37" s="34" t="s">
        <v>245</v>
      </c>
      <c r="B37" s="34" t="s">
        <v>246</v>
      </c>
      <c r="C37" s="34" t="s">
        <v>116</v>
      </c>
      <c r="D37" s="34" t="s">
        <v>31</v>
      </c>
      <c r="E37" s="34" t="s">
        <v>247</v>
      </c>
      <c r="F37" s="34" t="s">
        <v>152</v>
      </c>
      <c r="G37" s="34" t="n">
        <v>5</v>
      </c>
      <c r="H37" s="35" t="n">
        <f aca="false">COUNTIF(Tâches!$B$2:$B$186,A37)</f>
        <v>3</v>
      </c>
      <c r="I37" s="35" t="n">
        <f aca="false">SUMIF(Tâches!$B$2:$B$186,A37,Tâches!$G$2:$G$186)</f>
        <v>4.5</v>
      </c>
    </row>
    <row r="38" customFormat="false" ht="23.25" hidden="false" customHeight="true" outlineLevel="0" collapsed="false">
      <c r="A38" s="34" t="s">
        <v>248</v>
      </c>
      <c r="B38" s="34" t="s">
        <v>249</v>
      </c>
      <c r="C38" s="34" t="s">
        <v>116</v>
      </c>
      <c r="D38" s="34" t="s">
        <v>31</v>
      </c>
      <c r="E38" s="34" t="s">
        <v>250</v>
      </c>
      <c r="F38" s="34" t="s">
        <v>219</v>
      </c>
      <c r="G38" s="34" t="n">
        <v>5</v>
      </c>
      <c r="H38" s="35" t="n">
        <f aca="false">COUNTIF(Tâches!$B$2:$B$186,A38)</f>
        <v>3</v>
      </c>
      <c r="I38" s="35" t="n">
        <f aca="false">SUMIF(Tâches!$B$2:$B$186,A38,Tâches!$G$2:$G$186)</f>
        <v>4.5</v>
      </c>
    </row>
    <row r="39" customFormat="false" ht="15" hidden="false" customHeight="false" outlineLevel="0" collapsed="false">
      <c r="A39" s="17" t="s">
        <v>45</v>
      </c>
      <c r="G39" s="17" t="n">
        <f aca="false">SUM(G2:G38)</f>
        <v>198</v>
      </c>
      <c r="H39" s="17" t="n">
        <f aca="false">SUM(H2:H38)</f>
        <v>185</v>
      </c>
      <c r="I39" s="17" t="n">
        <f aca="false">SUM(I2:I38)</f>
        <v>315.5</v>
      </c>
    </row>
    <row r="41" customFormat="false" ht="15" hidden="false" customHeight="false" outlineLevel="0" collapsed="false">
      <c r="A41" s="20" t="s">
        <v>251</v>
      </c>
    </row>
  </sheetData>
  <autoFilter ref="A1:I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4" min="4" style="1" width="10"/>
    <col collapsed="false" customWidth="true" hidden="false" outlineLevel="0" max="5" min="5" style="1" width="70"/>
    <col collapsed="false" customWidth="true" hidden="false" outlineLevel="0" max="6" min="6" style="1" width="24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6"/>
  </cols>
  <sheetData>
    <row r="1" customFormat="false" ht="23.25" hidden="false" customHeight="true" outlineLevel="0" collapsed="false">
      <c r="A1" s="4" t="s">
        <v>252</v>
      </c>
      <c r="B1" s="4" t="s">
        <v>131</v>
      </c>
      <c r="C1" s="4" t="s">
        <v>98</v>
      </c>
      <c r="D1" s="4" t="s">
        <v>2</v>
      </c>
      <c r="E1" s="4" t="s">
        <v>253</v>
      </c>
      <c r="F1" s="4" t="s">
        <v>254</v>
      </c>
      <c r="G1" s="4" t="s">
        <v>255</v>
      </c>
      <c r="H1" s="4" t="s">
        <v>256</v>
      </c>
      <c r="I1" s="4" t="s">
        <v>257</v>
      </c>
      <c r="J1" s="4" t="s">
        <v>258</v>
      </c>
    </row>
    <row r="2" customFormat="false" ht="15" hidden="false" customHeight="true" outlineLevel="0" collapsed="false">
      <c r="A2" s="5" t="s">
        <v>259</v>
      </c>
      <c r="B2" s="5" t="s">
        <v>136</v>
      </c>
      <c r="C2" s="5" t="s">
        <v>78</v>
      </c>
      <c r="D2" s="5" t="s">
        <v>12</v>
      </c>
      <c r="E2" s="5" t="s">
        <v>260</v>
      </c>
      <c r="F2" s="5" t="s">
        <v>261</v>
      </c>
      <c r="G2" s="5" t="n">
        <v>1</v>
      </c>
      <c r="H2" s="36" t="s">
        <v>262</v>
      </c>
      <c r="I2" s="36" t="s">
        <v>263</v>
      </c>
      <c r="J2" s="5" t="s">
        <v>14</v>
      </c>
    </row>
    <row r="3" customFormat="false" ht="15" hidden="false" customHeight="true" outlineLevel="0" collapsed="false">
      <c r="A3" s="5" t="s">
        <v>264</v>
      </c>
      <c r="B3" s="5" t="s">
        <v>136</v>
      </c>
      <c r="C3" s="5" t="s">
        <v>78</v>
      </c>
      <c r="D3" s="5" t="s">
        <v>12</v>
      </c>
      <c r="E3" s="5" t="s">
        <v>265</v>
      </c>
      <c r="F3" s="5" t="s">
        <v>266</v>
      </c>
      <c r="G3" s="5" t="n">
        <v>1</v>
      </c>
      <c r="H3" s="36" t="s">
        <v>267</v>
      </c>
      <c r="I3" s="36" t="s">
        <v>263</v>
      </c>
      <c r="J3" s="5" t="s">
        <v>14</v>
      </c>
    </row>
    <row r="4" customFormat="false" ht="15" hidden="false" customHeight="true" outlineLevel="0" collapsed="false">
      <c r="A4" s="5" t="s">
        <v>268</v>
      </c>
      <c r="B4" s="5" t="s">
        <v>136</v>
      </c>
      <c r="C4" s="5" t="s">
        <v>78</v>
      </c>
      <c r="D4" s="5" t="s">
        <v>12</v>
      </c>
      <c r="E4" s="5" t="s">
        <v>269</v>
      </c>
      <c r="F4" s="5" t="s">
        <v>270</v>
      </c>
      <c r="G4" s="5" t="n">
        <v>1.5</v>
      </c>
      <c r="H4" s="36" t="s">
        <v>267</v>
      </c>
      <c r="I4" s="36" t="s">
        <v>263</v>
      </c>
      <c r="J4" s="5" t="s">
        <v>14</v>
      </c>
    </row>
    <row r="5" customFormat="false" ht="23.25" hidden="false" customHeight="true" outlineLevel="0" collapsed="false">
      <c r="A5" s="5" t="s">
        <v>271</v>
      </c>
      <c r="B5" s="5" t="s">
        <v>232</v>
      </c>
      <c r="C5" s="5" t="s">
        <v>80</v>
      </c>
      <c r="D5" s="5" t="s">
        <v>12</v>
      </c>
      <c r="E5" s="5" t="s">
        <v>272</v>
      </c>
      <c r="F5" s="5" t="s">
        <v>273</v>
      </c>
      <c r="G5" s="5" t="n">
        <v>1</v>
      </c>
      <c r="H5" s="36" t="s">
        <v>274</v>
      </c>
      <c r="I5" s="36" t="s">
        <v>263</v>
      </c>
      <c r="J5" s="5" t="s">
        <v>14</v>
      </c>
    </row>
    <row r="6" customFormat="false" ht="23.25" hidden="false" customHeight="true" outlineLevel="0" collapsed="false">
      <c r="A6" s="5" t="s">
        <v>275</v>
      </c>
      <c r="B6" s="5" t="s">
        <v>232</v>
      </c>
      <c r="C6" s="5" t="s">
        <v>80</v>
      </c>
      <c r="D6" s="5" t="s">
        <v>12</v>
      </c>
      <c r="E6" s="5" t="s">
        <v>276</v>
      </c>
      <c r="F6" s="5" t="s">
        <v>277</v>
      </c>
      <c r="G6" s="5" t="n">
        <v>1.5</v>
      </c>
      <c r="H6" s="36" t="s">
        <v>274</v>
      </c>
      <c r="I6" s="36" t="s">
        <v>263</v>
      </c>
      <c r="J6" s="5" t="s">
        <v>14</v>
      </c>
    </row>
    <row r="7" customFormat="false" ht="23.25" hidden="false" customHeight="true" outlineLevel="0" collapsed="false">
      <c r="A7" s="5" t="s">
        <v>278</v>
      </c>
      <c r="B7" s="5" t="s">
        <v>232</v>
      </c>
      <c r="C7" s="5" t="s">
        <v>80</v>
      </c>
      <c r="D7" s="5" t="s">
        <v>12</v>
      </c>
      <c r="E7" s="5" t="s">
        <v>279</v>
      </c>
      <c r="F7" s="5" t="s">
        <v>280</v>
      </c>
      <c r="G7" s="5" t="n">
        <v>1</v>
      </c>
      <c r="H7" s="36" t="s">
        <v>274</v>
      </c>
      <c r="I7" s="36" t="s">
        <v>263</v>
      </c>
      <c r="J7" s="5" t="s">
        <v>14</v>
      </c>
    </row>
    <row r="8" customFormat="false" ht="23.25" hidden="false" customHeight="true" outlineLevel="0" collapsed="false">
      <c r="A8" s="5" t="s">
        <v>281</v>
      </c>
      <c r="B8" s="5" t="s">
        <v>232</v>
      </c>
      <c r="C8" s="5" t="s">
        <v>80</v>
      </c>
      <c r="D8" s="5" t="s">
        <v>12</v>
      </c>
      <c r="E8" s="5" t="s">
        <v>282</v>
      </c>
      <c r="F8" s="5" t="s">
        <v>283</v>
      </c>
      <c r="G8" s="5" t="n">
        <v>1</v>
      </c>
      <c r="H8" s="36" t="s">
        <v>274</v>
      </c>
      <c r="I8" s="36" t="s">
        <v>263</v>
      </c>
      <c r="J8" s="5" t="s">
        <v>14</v>
      </c>
    </row>
    <row r="9" customFormat="false" ht="23.25" hidden="false" customHeight="true" outlineLevel="0" collapsed="false">
      <c r="A9" s="5" t="s">
        <v>284</v>
      </c>
      <c r="B9" s="5" t="s">
        <v>140</v>
      </c>
      <c r="C9" s="5" t="s">
        <v>79</v>
      </c>
      <c r="D9" s="5" t="s">
        <v>12</v>
      </c>
      <c r="E9" s="5" t="s">
        <v>285</v>
      </c>
      <c r="F9" s="5" t="s">
        <v>286</v>
      </c>
      <c r="G9" s="5" t="n">
        <v>2</v>
      </c>
      <c r="H9" s="36" t="s">
        <v>274</v>
      </c>
      <c r="I9" s="36" t="s">
        <v>263</v>
      </c>
      <c r="J9" s="5" t="s">
        <v>14</v>
      </c>
    </row>
    <row r="10" customFormat="false" ht="23.25" hidden="false" customHeight="true" outlineLevel="0" collapsed="false">
      <c r="A10" s="5" t="s">
        <v>287</v>
      </c>
      <c r="B10" s="5" t="s">
        <v>140</v>
      </c>
      <c r="C10" s="5" t="s">
        <v>79</v>
      </c>
      <c r="D10" s="5" t="s">
        <v>12</v>
      </c>
      <c r="E10" s="5" t="s">
        <v>288</v>
      </c>
      <c r="F10" s="5" t="s">
        <v>286</v>
      </c>
      <c r="G10" s="5" t="n">
        <v>1</v>
      </c>
      <c r="H10" s="36" t="s">
        <v>274</v>
      </c>
      <c r="I10" s="36" t="s">
        <v>263</v>
      </c>
      <c r="J10" s="5" t="s">
        <v>14</v>
      </c>
    </row>
    <row r="11" customFormat="false" ht="23.25" hidden="false" customHeight="true" outlineLevel="0" collapsed="false">
      <c r="A11" s="5" t="s">
        <v>289</v>
      </c>
      <c r="B11" s="5" t="s">
        <v>140</v>
      </c>
      <c r="C11" s="5" t="s">
        <v>79</v>
      </c>
      <c r="D11" s="5" t="s">
        <v>12</v>
      </c>
      <c r="E11" s="5" t="s">
        <v>290</v>
      </c>
      <c r="F11" s="5" t="s">
        <v>291</v>
      </c>
      <c r="G11" s="5" t="n">
        <v>2</v>
      </c>
      <c r="H11" s="36" t="s">
        <v>292</v>
      </c>
      <c r="I11" s="36" t="s">
        <v>263</v>
      </c>
      <c r="J11" s="5" t="s">
        <v>14</v>
      </c>
    </row>
    <row r="12" customFormat="false" ht="23.25" hidden="false" customHeight="true" outlineLevel="0" collapsed="false">
      <c r="A12" s="5" t="s">
        <v>293</v>
      </c>
      <c r="B12" s="5" t="s">
        <v>143</v>
      </c>
      <c r="C12" s="5" t="s">
        <v>79</v>
      </c>
      <c r="D12" s="5" t="s">
        <v>12</v>
      </c>
      <c r="E12" s="5" t="s">
        <v>294</v>
      </c>
      <c r="F12" s="5" t="s">
        <v>291</v>
      </c>
      <c r="G12" s="5" t="n">
        <v>1.5</v>
      </c>
      <c r="H12" s="36" t="s">
        <v>292</v>
      </c>
      <c r="I12" s="36" t="s">
        <v>263</v>
      </c>
      <c r="J12" s="5" t="s">
        <v>14</v>
      </c>
    </row>
    <row r="13" customFormat="false" ht="23.25" hidden="false" customHeight="true" outlineLevel="0" collapsed="false">
      <c r="A13" s="5" t="s">
        <v>295</v>
      </c>
      <c r="B13" s="5" t="s">
        <v>143</v>
      </c>
      <c r="C13" s="5" t="s">
        <v>79</v>
      </c>
      <c r="D13" s="5" t="s">
        <v>12</v>
      </c>
      <c r="E13" s="5" t="s">
        <v>296</v>
      </c>
      <c r="F13" s="5" t="s">
        <v>291</v>
      </c>
      <c r="G13" s="5" t="n">
        <v>1.5</v>
      </c>
      <c r="H13" s="36" t="s">
        <v>292</v>
      </c>
      <c r="I13" s="36" t="s">
        <v>263</v>
      </c>
      <c r="J13" s="5" t="s">
        <v>14</v>
      </c>
    </row>
    <row r="14" customFormat="false" ht="23.25" hidden="false" customHeight="true" outlineLevel="0" collapsed="false">
      <c r="A14" s="5" t="s">
        <v>297</v>
      </c>
      <c r="B14" s="5" t="s">
        <v>143</v>
      </c>
      <c r="C14" s="5" t="s">
        <v>79</v>
      </c>
      <c r="D14" s="5" t="s">
        <v>12</v>
      </c>
      <c r="E14" s="5" t="s">
        <v>298</v>
      </c>
      <c r="F14" s="5" t="s">
        <v>299</v>
      </c>
      <c r="G14" s="5" t="n">
        <v>0.5</v>
      </c>
      <c r="H14" s="36" t="s">
        <v>300</v>
      </c>
      <c r="I14" s="36" t="s">
        <v>263</v>
      </c>
      <c r="J14" s="5" t="s">
        <v>14</v>
      </c>
    </row>
    <row r="15" customFormat="false" ht="23.25" hidden="false" customHeight="true" outlineLevel="0" collapsed="false">
      <c r="A15" s="5" t="s">
        <v>301</v>
      </c>
      <c r="B15" s="5" t="s">
        <v>146</v>
      </c>
      <c r="C15" s="5" t="s">
        <v>79</v>
      </c>
      <c r="D15" s="5" t="s">
        <v>12</v>
      </c>
      <c r="E15" s="5" t="s">
        <v>302</v>
      </c>
      <c r="F15" s="5" t="s">
        <v>303</v>
      </c>
      <c r="G15" s="5" t="n">
        <v>1</v>
      </c>
      <c r="H15" s="36" t="s">
        <v>300</v>
      </c>
      <c r="I15" s="36" t="s">
        <v>263</v>
      </c>
      <c r="J15" s="5" t="s">
        <v>14</v>
      </c>
    </row>
    <row r="16" customFormat="false" ht="23.25" hidden="false" customHeight="true" outlineLevel="0" collapsed="false">
      <c r="A16" s="5" t="s">
        <v>304</v>
      </c>
      <c r="B16" s="5" t="s">
        <v>146</v>
      </c>
      <c r="C16" s="5" t="s">
        <v>79</v>
      </c>
      <c r="D16" s="5" t="s">
        <v>12</v>
      </c>
      <c r="E16" s="5" t="s">
        <v>305</v>
      </c>
      <c r="F16" s="5" t="s">
        <v>306</v>
      </c>
      <c r="G16" s="5" t="n">
        <v>1.5</v>
      </c>
      <c r="H16" s="36" t="s">
        <v>300</v>
      </c>
      <c r="I16" s="36" t="s">
        <v>263</v>
      </c>
      <c r="J16" s="5" t="s">
        <v>14</v>
      </c>
    </row>
    <row r="17" customFormat="false" ht="23.25" hidden="false" customHeight="true" outlineLevel="0" collapsed="false">
      <c r="A17" s="5" t="s">
        <v>307</v>
      </c>
      <c r="B17" s="5" t="s">
        <v>146</v>
      </c>
      <c r="C17" s="5" t="s">
        <v>79</v>
      </c>
      <c r="D17" s="5" t="s">
        <v>12</v>
      </c>
      <c r="E17" s="5" t="s">
        <v>308</v>
      </c>
      <c r="F17" s="5" t="s">
        <v>309</v>
      </c>
      <c r="G17" s="5" t="n">
        <v>2</v>
      </c>
      <c r="H17" s="36" t="s">
        <v>300</v>
      </c>
      <c r="I17" s="36" t="s">
        <v>263</v>
      </c>
      <c r="J17" s="5" t="s">
        <v>14</v>
      </c>
    </row>
    <row r="18" customFormat="false" ht="23.25" hidden="false" customHeight="true" outlineLevel="0" collapsed="false">
      <c r="A18" s="5" t="s">
        <v>310</v>
      </c>
      <c r="B18" s="5" t="s">
        <v>146</v>
      </c>
      <c r="C18" s="5" t="s">
        <v>79</v>
      </c>
      <c r="D18" s="5" t="s">
        <v>12</v>
      </c>
      <c r="E18" s="5" t="s">
        <v>311</v>
      </c>
      <c r="F18" s="5" t="s">
        <v>312</v>
      </c>
      <c r="G18" s="5" t="n">
        <v>1</v>
      </c>
      <c r="H18" s="36" t="s">
        <v>300</v>
      </c>
      <c r="I18" s="36" t="s">
        <v>263</v>
      </c>
      <c r="J18" s="5" t="s">
        <v>14</v>
      </c>
    </row>
    <row r="19" customFormat="false" ht="23.25" hidden="false" customHeight="true" outlineLevel="0" collapsed="false">
      <c r="A19" s="5" t="s">
        <v>313</v>
      </c>
      <c r="B19" s="5" t="s">
        <v>146</v>
      </c>
      <c r="C19" s="5" t="s">
        <v>79</v>
      </c>
      <c r="D19" s="5" t="s">
        <v>12</v>
      </c>
      <c r="E19" s="5" t="s">
        <v>314</v>
      </c>
      <c r="F19" s="5" t="s">
        <v>315</v>
      </c>
      <c r="G19" s="5" t="n">
        <v>1</v>
      </c>
      <c r="H19" s="36" t="s">
        <v>300</v>
      </c>
      <c r="I19" s="36" t="s">
        <v>263</v>
      </c>
      <c r="J19" s="5" t="s">
        <v>14</v>
      </c>
    </row>
    <row r="20" customFormat="false" ht="23.25" hidden="false" customHeight="true" outlineLevel="0" collapsed="false">
      <c r="A20" s="5" t="s">
        <v>316</v>
      </c>
      <c r="B20" s="5" t="s">
        <v>146</v>
      </c>
      <c r="C20" s="5" t="s">
        <v>79</v>
      </c>
      <c r="D20" s="5" t="s">
        <v>12</v>
      </c>
      <c r="E20" s="5" t="s">
        <v>317</v>
      </c>
      <c r="F20" s="5" t="s">
        <v>318</v>
      </c>
      <c r="G20" s="5" t="n">
        <v>1</v>
      </c>
      <c r="H20" s="36" t="s">
        <v>300</v>
      </c>
      <c r="I20" s="36" t="s">
        <v>263</v>
      </c>
      <c r="J20" s="5" t="s">
        <v>14</v>
      </c>
    </row>
    <row r="21" customFormat="false" ht="23.25" hidden="false" customHeight="true" outlineLevel="0" collapsed="false">
      <c r="A21" s="5" t="s">
        <v>319</v>
      </c>
      <c r="B21" s="5" t="s">
        <v>146</v>
      </c>
      <c r="C21" s="5" t="s">
        <v>79</v>
      </c>
      <c r="D21" s="5" t="s">
        <v>12</v>
      </c>
      <c r="E21" s="5" t="s">
        <v>320</v>
      </c>
      <c r="F21" s="5" t="s">
        <v>312</v>
      </c>
      <c r="G21" s="5" t="n">
        <v>1</v>
      </c>
      <c r="H21" s="36" t="s">
        <v>300</v>
      </c>
      <c r="I21" s="36" t="s">
        <v>263</v>
      </c>
      <c r="J21" s="5" t="s">
        <v>14</v>
      </c>
    </row>
    <row r="22" customFormat="false" ht="23.25" hidden="false" customHeight="true" outlineLevel="0" collapsed="false">
      <c r="A22" s="5" t="s">
        <v>321</v>
      </c>
      <c r="B22" s="5" t="s">
        <v>146</v>
      </c>
      <c r="C22" s="5" t="s">
        <v>79</v>
      </c>
      <c r="D22" s="5" t="s">
        <v>12</v>
      </c>
      <c r="E22" s="5" t="s">
        <v>322</v>
      </c>
      <c r="F22" s="5" t="s">
        <v>286</v>
      </c>
      <c r="G22" s="5" t="n">
        <v>2</v>
      </c>
      <c r="H22" s="36" t="s">
        <v>323</v>
      </c>
      <c r="I22" s="36" t="s">
        <v>263</v>
      </c>
      <c r="J22" s="5" t="s">
        <v>14</v>
      </c>
    </row>
    <row r="23" customFormat="false" ht="23.25" hidden="false" customHeight="true" outlineLevel="0" collapsed="false">
      <c r="A23" s="5" t="s">
        <v>324</v>
      </c>
      <c r="B23" s="5" t="s">
        <v>146</v>
      </c>
      <c r="C23" s="5" t="s">
        <v>79</v>
      </c>
      <c r="D23" s="5" t="s">
        <v>12</v>
      </c>
      <c r="E23" s="5" t="s">
        <v>325</v>
      </c>
      <c r="F23" s="5" t="s">
        <v>312</v>
      </c>
      <c r="G23" s="5" t="n">
        <v>1.5</v>
      </c>
      <c r="H23" s="36" t="s">
        <v>323</v>
      </c>
      <c r="I23" s="36" t="s">
        <v>326</v>
      </c>
      <c r="J23" s="5" t="s">
        <v>14</v>
      </c>
    </row>
    <row r="24" customFormat="false" ht="23.25" hidden="false" customHeight="true" outlineLevel="0" collapsed="false">
      <c r="A24" s="5" t="s">
        <v>327</v>
      </c>
      <c r="B24" s="5" t="s">
        <v>146</v>
      </c>
      <c r="C24" s="5" t="s">
        <v>79</v>
      </c>
      <c r="D24" s="5" t="s">
        <v>12</v>
      </c>
      <c r="E24" s="5" t="s">
        <v>328</v>
      </c>
      <c r="F24" s="5" t="s">
        <v>329</v>
      </c>
      <c r="G24" s="5" t="n">
        <v>1</v>
      </c>
      <c r="H24" s="36" t="s">
        <v>330</v>
      </c>
      <c r="I24" s="36" t="s">
        <v>331</v>
      </c>
      <c r="J24" s="5" t="s">
        <v>14</v>
      </c>
    </row>
    <row r="25" customFormat="false" ht="23.25" hidden="false" customHeight="true" outlineLevel="0" collapsed="false">
      <c r="A25" s="5" t="s">
        <v>332</v>
      </c>
      <c r="B25" s="5" t="s">
        <v>149</v>
      </c>
      <c r="C25" s="5" t="s">
        <v>79</v>
      </c>
      <c r="D25" s="5" t="s">
        <v>12</v>
      </c>
      <c r="E25" s="5" t="s">
        <v>333</v>
      </c>
      <c r="F25" s="5" t="s">
        <v>334</v>
      </c>
      <c r="G25" s="5" t="n">
        <v>1.5</v>
      </c>
      <c r="H25" s="36" t="s">
        <v>330</v>
      </c>
      <c r="I25" s="36" t="s">
        <v>263</v>
      </c>
      <c r="J25" s="5" t="s">
        <v>14</v>
      </c>
    </row>
    <row r="26" customFormat="false" ht="23.25" hidden="false" customHeight="true" outlineLevel="0" collapsed="false">
      <c r="A26" s="5" t="s">
        <v>335</v>
      </c>
      <c r="B26" s="5" t="s">
        <v>149</v>
      </c>
      <c r="C26" s="5" t="s">
        <v>79</v>
      </c>
      <c r="D26" s="5" t="s">
        <v>12</v>
      </c>
      <c r="E26" s="5" t="s">
        <v>336</v>
      </c>
      <c r="F26" s="5" t="s">
        <v>303</v>
      </c>
      <c r="G26" s="5" t="n">
        <v>2</v>
      </c>
      <c r="H26" s="36" t="s">
        <v>330</v>
      </c>
      <c r="I26" s="36" t="s">
        <v>263</v>
      </c>
      <c r="J26" s="5" t="s">
        <v>14</v>
      </c>
    </row>
    <row r="27" customFormat="false" ht="15" hidden="false" customHeight="true" outlineLevel="0" collapsed="false">
      <c r="A27" s="5" t="s">
        <v>337</v>
      </c>
      <c r="B27" s="5" t="s">
        <v>153</v>
      </c>
      <c r="C27" s="5" t="s">
        <v>78</v>
      </c>
      <c r="D27" s="5" t="s">
        <v>12</v>
      </c>
      <c r="E27" s="5" t="s">
        <v>338</v>
      </c>
      <c r="F27" s="5" t="s">
        <v>261</v>
      </c>
      <c r="G27" s="5" t="n">
        <v>1.5</v>
      </c>
      <c r="H27" s="36" t="s">
        <v>300</v>
      </c>
      <c r="I27" s="36" t="s">
        <v>263</v>
      </c>
      <c r="J27" s="5" t="s">
        <v>14</v>
      </c>
    </row>
    <row r="28" customFormat="false" ht="15" hidden="false" customHeight="true" outlineLevel="0" collapsed="false">
      <c r="A28" s="5" t="s">
        <v>339</v>
      </c>
      <c r="B28" s="5" t="s">
        <v>153</v>
      </c>
      <c r="C28" s="5" t="s">
        <v>78</v>
      </c>
      <c r="D28" s="5" t="s">
        <v>12</v>
      </c>
      <c r="E28" s="5" t="s">
        <v>340</v>
      </c>
      <c r="F28" s="5" t="s">
        <v>291</v>
      </c>
      <c r="G28" s="5" t="n">
        <v>2</v>
      </c>
      <c r="H28" s="36" t="s">
        <v>267</v>
      </c>
      <c r="I28" s="36" t="s">
        <v>263</v>
      </c>
      <c r="J28" s="5" t="s">
        <v>14</v>
      </c>
    </row>
    <row r="29" customFormat="false" ht="15" hidden="false" customHeight="true" outlineLevel="0" collapsed="false">
      <c r="A29" s="5" t="s">
        <v>341</v>
      </c>
      <c r="B29" s="5" t="s">
        <v>156</v>
      </c>
      <c r="C29" s="5" t="s">
        <v>78</v>
      </c>
      <c r="D29" s="5" t="s">
        <v>12</v>
      </c>
      <c r="E29" s="5" t="s">
        <v>342</v>
      </c>
      <c r="F29" s="5" t="s">
        <v>291</v>
      </c>
      <c r="G29" s="5" t="n">
        <v>3</v>
      </c>
      <c r="H29" s="36" t="s">
        <v>300</v>
      </c>
      <c r="I29" s="36" t="s">
        <v>263</v>
      </c>
      <c r="J29" s="5" t="s">
        <v>14</v>
      </c>
    </row>
    <row r="30" customFormat="false" ht="15" hidden="false" customHeight="true" outlineLevel="0" collapsed="false">
      <c r="A30" s="5" t="s">
        <v>343</v>
      </c>
      <c r="B30" s="5" t="s">
        <v>156</v>
      </c>
      <c r="C30" s="5" t="s">
        <v>78</v>
      </c>
      <c r="D30" s="5" t="s">
        <v>12</v>
      </c>
      <c r="E30" s="5" t="s">
        <v>344</v>
      </c>
      <c r="F30" s="5" t="s">
        <v>291</v>
      </c>
      <c r="G30" s="5" t="n">
        <v>3</v>
      </c>
      <c r="H30" s="36" t="s">
        <v>300</v>
      </c>
      <c r="I30" s="36" t="s">
        <v>263</v>
      </c>
      <c r="J30" s="5" t="s">
        <v>14</v>
      </c>
    </row>
    <row r="31" customFormat="false" ht="15" hidden="false" customHeight="true" outlineLevel="0" collapsed="false">
      <c r="A31" s="5" t="s">
        <v>345</v>
      </c>
      <c r="B31" s="5" t="s">
        <v>156</v>
      </c>
      <c r="C31" s="5" t="s">
        <v>78</v>
      </c>
      <c r="D31" s="5" t="s">
        <v>12</v>
      </c>
      <c r="E31" s="5" t="s">
        <v>346</v>
      </c>
      <c r="F31" s="5" t="s">
        <v>261</v>
      </c>
      <c r="G31" s="5" t="n">
        <v>1.5</v>
      </c>
      <c r="H31" s="36" t="s">
        <v>300</v>
      </c>
      <c r="I31" s="36" t="s">
        <v>263</v>
      </c>
      <c r="J31" s="5" t="s">
        <v>14</v>
      </c>
    </row>
    <row r="32" customFormat="false" ht="15" hidden="false" customHeight="true" outlineLevel="0" collapsed="false">
      <c r="A32" s="5" t="s">
        <v>347</v>
      </c>
      <c r="B32" s="5" t="s">
        <v>156</v>
      </c>
      <c r="C32" s="5" t="s">
        <v>78</v>
      </c>
      <c r="D32" s="5" t="s">
        <v>12</v>
      </c>
      <c r="E32" s="5" t="s">
        <v>348</v>
      </c>
      <c r="F32" s="5" t="s">
        <v>266</v>
      </c>
      <c r="G32" s="5" t="n">
        <v>2</v>
      </c>
      <c r="H32" s="36" t="s">
        <v>267</v>
      </c>
      <c r="I32" s="36" t="s">
        <v>263</v>
      </c>
      <c r="J32" s="5" t="s">
        <v>14</v>
      </c>
    </row>
    <row r="33" customFormat="false" ht="15" hidden="false" customHeight="true" outlineLevel="0" collapsed="false">
      <c r="A33" s="5" t="s">
        <v>349</v>
      </c>
      <c r="B33" s="5" t="s">
        <v>159</v>
      </c>
      <c r="C33" s="5" t="s">
        <v>86</v>
      </c>
      <c r="D33" s="5" t="s">
        <v>12</v>
      </c>
      <c r="E33" s="5" t="s">
        <v>350</v>
      </c>
      <c r="F33" s="5" t="s">
        <v>351</v>
      </c>
      <c r="G33" s="5" t="n">
        <v>1</v>
      </c>
      <c r="H33" s="36" t="s">
        <v>267</v>
      </c>
      <c r="I33" s="36" t="s">
        <v>263</v>
      </c>
      <c r="J33" s="5" t="s">
        <v>14</v>
      </c>
    </row>
    <row r="34" customFormat="false" ht="15" hidden="false" customHeight="true" outlineLevel="0" collapsed="false">
      <c r="A34" s="5" t="s">
        <v>352</v>
      </c>
      <c r="B34" s="5" t="s">
        <v>159</v>
      </c>
      <c r="C34" s="5" t="s">
        <v>86</v>
      </c>
      <c r="D34" s="5" t="s">
        <v>12</v>
      </c>
      <c r="E34" s="5" t="s">
        <v>353</v>
      </c>
      <c r="F34" s="5" t="s">
        <v>351</v>
      </c>
      <c r="G34" s="5" t="n">
        <v>1.5</v>
      </c>
      <c r="H34" s="36" t="s">
        <v>262</v>
      </c>
      <c r="I34" s="36" t="s">
        <v>263</v>
      </c>
      <c r="J34" s="5" t="s">
        <v>14</v>
      </c>
    </row>
    <row r="35" customFormat="false" ht="15" hidden="false" customHeight="true" outlineLevel="0" collapsed="false">
      <c r="A35" s="5" t="s">
        <v>354</v>
      </c>
      <c r="B35" s="5" t="s">
        <v>159</v>
      </c>
      <c r="C35" s="5" t="s">
        <v>86</v>
      </c>
      <c r="D35" s="5" t="s">
        <v>12</v>
      </c>
      <c r="E35" s="5" t="s">
        <v>355</v>
      </c>
      <c r="F35" s="5" t="s">
        <v>351</v>
      </c>
      <c r="G35" s="5" t="n">
        <v>1.5</v>
      </c>
      <c r="H35" s="36" t="s">
        <v>262</v>
      </c>
      <c r="I35" s="36" t="s">
        <v>263</v>
      </c>
      <c r="J35" s="5" t="s">
        <v>14</v>
      </c>
    </row>
    <row r="36" customFormat="false" ht="15" hidden="false" customHeight="true" outlineLevel="0" collapsed="false">
      <c r="A36" s="5" t="s">
        <v>356</v>
      </c>
      <c r="B36" s="5" t="s">
        <v>159</v>
      </c>
      <c r="C36" s="5" t="s">
        <v>86</v>
      </c>
      <c r="D36" s="5" t="s">
        <v>12</v>
      </c>
      <c r="E36" s="5" t="s">
        <v>357</v>
      </c>
      <c r="F36" s="5" t="s">
        <v>351</v>
      </c>
      <c r="G36" s="5" t="n">
        <v>1.5</v>
      </c>
      <c r="H36" s="36" t="s">
        <v>262</v>
      </c>
      <c r="I36" s="36" t="s">
        <v>263</v>
      </c>
      <c r="J36" s="5" t="s">
        <v>14</v>
      </c>
    </row>
    <row r="37" customFormat="false" ht="15" hidden="false" customHeight="true" outlineLevel="0" collapsed="false">
      <c r="A37" s="5" t="s">
        <v>358</v>
      </c>
      <c r="B37" s="5" t="s">
        <v>159</v>
      </c>
      <c r="C37" s="5" t="s">
        <v>86</v>
      </c>
      <c r="D37" s="5" t="s">
        <v>12</v>
      </c>
      <c r="E37" s="5" t="s">
        <v>359</v>
      </c>
      <c r="F37" s="5" t="s">
        <v>261</v>
      </c>
      <c r="G37" s="5" t="n">
        <v>1.5</v>
      </c>
      <c r="H37" s="36" t="s">
        <v>262</v>
      </c>
      <c r="I37" s="36" t="s">
        <v>360</v>
      </c>
      <c r="J37" s="5" t="s">
        <v>14</v>
      </c>
    </row>
    <row r="38" customFormat="false" ht="15" hidden="false" customHeight="true" outlineLevel="0" collapsed="false">
      <c r="A38" s="5" t="s">
        <v>361</v>
      </c>
      <c r="B38" s="5" t="s">
        <v>235</v>
      </c>
      <c r="C38" s="5" t="s">
        <v>78</v>
      </c>
      <c r="D38" s="5" t="s">
        <v>12</v>
      </c>
      <c r="E38" s="5" t="s">
        <v>362</v>
      </c>
      <c r="F38" s="5" t="s">
        <v>261</v>
      </c>
      <c r="G38" s="5" t="n">
        <v>2</v>
      </c>
      <c r="H38" s="36" t="s">
        <v>267</v>
      </c>
      <c r="I38" s="36" t="s">
        <v>263</v>
      </c>
      <c r="J38" s="5" t="s">
        <v>14</v>
      </c>
    </row>
    <row r="39" customFormat="false" ht="23.25" hidden="false" customHeight="true" outlineLevel="0" collapsed="false">
      <c r="A39" s="8" t="s">
        <v>363</v>
      </c>
      <c r="B39" s="8" t="s">
        <v>162</v>
      </c>
      <c r="C39" s="8" t="s">
        <v>80</v>
      </c>
      <c r="D39" s="8" t="s">
        <v>18</v>
      </c>
      <c r="E39" s="8" t="s">
        <v>364</v>
      </c>
      <c r="F39" s="8" t="s">
        <v>286</v>
      </c>
      <c r="G39" s="8" t="n">
        <v>2</v>
      </c>
      <c r="H39" s="36" t="s">
        <v>274</v>
      </c>
      <c r="I39" s="36" t="s">
        <v>360</v>
      </c>
      <c r="J39" s="8" t="s">
        <v>19</v>
      </c>
    </row>
    <row r="40" customFormat="false" ht="23.25" hidden="false" customHeight="true" outlineLevel="0" collapsed="false">
      <c r="A40" s="8" t="s">
        <v>365</v>
      </c>
      <c r="B40" s="8" t="s">
        <v>162</v>
      </c>
      <c r="C40" s="8" t="s">
        <v>80</v>
      </c>
      <c r="D40" s="8" t="s">
        <v>18</v>
      </c>
      <c r="E40" s="8" t="s">
        <v>366</v>
      </c>
      <c r="F40" s="8" t="s">
        <v>286</v>
      </c>
      <c r="G40" s="8" t="n">
        <v>2</v>
      </c>
      <c r="H40" s="36" t="s">
        <v>274</v>
      </c>
      <c r="I40" s="36" t="s">
        <v>360</v>
      </c>
      <c r="J40" s="8" t="s">
        <v>19</v>
      </c>
    </row>
    <row r="41" customFormat="false" ht="23.25" hidden="false" customHeight="true" outlineLevel="0" collapsed="false">
      <c r="A41" s="8" t="s">
        <v>367</v>
      </c>
      <c r="B41" s="8" t="s">
        <v>162</v>
      </c>
      <c r="C41" s="8" t="s">
        <v>80</v>
      </c>
      <c r="D41" s="8" t="s">
        <v>18</v>
      </c>
      <c r="E41" s="8" t="s">
        <v>368</v>
      </c>
      <c r="F41" s="8" t="s">
        <v>286</v>
      </c>
      <c r="G41" s="8" t="n">
        <v>1</v>
      </c>
      <c r="H41" s="36" t="s">
        <v>274</v>
      </c>
      <c r="I41" s="36" t="s">
        <v>360</v>
      </c>
      <c r="J41" s="8" t="s">
        <v>19</v>
      </c>
    </row>
    <row r="42" customFormat="false" ht="23.25" hidden="false" customHeight="true" outlineLevel="0" collapsed="false">
      <c r="A42" s="8" t="s">
        <v>369</v>
      </c>
      <c r="B42" s="8" t="s">
        <v>162</v>
      </c>
      <c r="C42" s="8" t="s">
        <v>80</v>
      </c>
      <c r="D42" s="8" t="s">
        <v>18</v>
      </c>
      <c r="E42" s="8" t="s">
        <v>370</v>
      </c>
      <c r="F42" s="8" t="s">
        <v>286</v>
      </c>
      <c r="G42" s="8" t="n">
        <v>1.5</v>
      </c>
      <c r="H42" s="36" t="s">
        <v>292</v>
      </c>
      <c r="I42" s="36" t="s">
        <v>360</v>
      </c>
      <c r="J42" s="8" t="s">
        <v>19</v>
      </c>
    </row>
    <row r="43" customFormat="false" ht="23.25" hidden="false" customHeight="true" outlineLevel="0" collapsed="false">
      <c r="A43" s="8" t="s">
        <v>371</v>
      </c>
      <c r="B43" s="8" t="s">
        <v>162</v>
      </c>
      <c r="C43" s="8" t="s">
        <v>80</v>
      </c>
      <c r="D43" s="8" t="s">
        <v>18</v>
      </c>
      <c r="E43" s="8" t="s">
        <v>372</v>
      </c>
      <c r="F43" s="8" t="s">
        <v>286</v>
      </c>
      <c r="G43" s="8" t="n">
        <v>2</v>
      </c>
      <c r="H43" s="36" t="s">
        <v>292</v>
      </c>
      <c r="I43" s="36" t="s">
        <v>360</v>
      </c>
      <c r="J43" s="8" t="s">
        <v>19</v>
      </c>
    </row>
    <row r="44" customFormat="false" ht="23.25" hidden="false" customHeight="true" outlineLevel="0" collapsed="false">
      <c r="A44" s="8" t="s">
        <v>373</v>
      </c>
      <c r="B44" s="8" t="s">
        <v>165</v>
      </c>
      <c r="C44" s="8" t="s">
        <v>80</v>
      </c>
      <c r="D44" s="8" t="s">
        <v>18</v>
      </c>
      <c r="E44" s="8" t="s">
        <v>374</v>
      </c>
      <c r="F44" s="8" t="s">
        <v>375</v>
      </c>
      <c r="G44" s="8" t="n">
        <v>2</v>
      </c>
      <c r="H44" s="36" t="s">
        <v>330</v>
      </c>
      <c r="I44" s="36" t="s">
        <v>360</v>
      </c>
      <c r="J44" s="8" t="s">
        <v>19</v>
      </c>
    </row>
    <row r="45" customFormat="false" ht="23.25" hidden="false" customHeight="true" outlineLevel="0" collapsed="false">
      <c r="A45" s="8" t="s">
        <v>376</v>
      </c>
      <c r="B45" s="8" t="s">
        <v>165</v>
      </c>
      <c r="C45" s="8" t="s">
        <v>80</v>
      </c>
      <c r="D45" s="8" t="s">
        <v>18</v>
      </c>
      <c r="E45" s="8" t="s">
        <v>377</v>
      </c>
      <c r="F45" s="8" t="s">
        <v>286</v>
      </c>
      <c r="G45" s="8" t="n">
        <v>1</v>
      </c>
      <c r="H45" s="36" t="s">
        <v>330</v>
      </c>
      <c r="I45" s="36" t="s">
        <v>360</v>
      </c>
      <c r="J45" s="8" t="s">
        <v>19</v>
      </c>
    </row>
    <row r="46" customFormat="false" ht="23.25" hidden="false" customHeight="true" outlineLevel="0" collapsed="false">
      <c r="A46" s="8" t="s">
        <v>378</v>
      </c>
      <c r="B46" s="8" t="s">
        <v>165</v>
      </c>
      <c r="C46" s="8" t="s">
        <v>80</v>
      </c>
      <c r="D46" s="8" t="s">
        <v>18</v>
      </c>
      <c r="E46" s="8" t="s">
        <v>379</v>
      </c>
      <c r="F46" s="8" t="s">
        <v>286</v>
      </c>
      <c r="G46" s="8" t="n">
        <v>1</v>
      </c>
      <c r="H46" s="36" t="s">
        <v>330</v>
      </c>
      <c r="I46" s="36" t="s">
        <v>360</v>
      </c>
      <c r="J46" s="8" t="s">
        <v>19</v>
      </c>
    </row>
    <row r="47" customFormat="false" ht="23.25" hidden="false" customHeight="true" outlineLevel="0" collapsed="false">
      <c r="A47" s="8" t="s">
        <v>380</v>
      </c>
      <c r="B47" s="8" t="s">
        <v>165</v>
      </c>
      <c r="C47" s="8" t="s">
        <v>80</v>
      </c>
      <c r="D47" s="8" t="s">
        <v>18</v>
      </c>
      <c r="E47" s="8" t="s">
        <v>381</v>
      </c>
      <c r="F47" s="8" t="s">
        <v>286</v>
      </c>
      <c r="G47" s="8" t="n">
        <v>2</v>
      </c>
      <c r="H47" s="36" t="s">
        <v>323</v>
      </c>
      <c r="I47" s="36" t="s">
        <v>360</v>
      </c>
      <c r="J47" s="8" t="s">
        <v>19</v>
      </c>
    </row>
    <row r="48" customFormat="false" ht="23.25" hidden="false" customHeight="true" outlineLevel="0" collapsed="false">
      <c r="A48" s="8" t="s">
        <v>382</v>
      </c>
      <c r="B48" s="8" t="s">
        <v>165</v>
      </c>
      <c r="C48" s="8" t="s">
        <v>80</v>
      </c>
      <c r="D48" s="8" t="s">
        <v>18</v>
      </c>
      <c r="E48" s="8" t="s">
        <v>383</v>
      </c>
      <c r="F48" s="8" t="s">
        <v>286</v>
      </c>
      <c r="G48" s="8" t="n">
        <v>2</v>
      </c>
      <c r="H48" s="36" t="s">
        <v>323</v>
      </c>
      <c r="I48" s="36" t="s">
        <v>360</v>
      </c>
      <c r="J48" s="8" t="s">
        <v>19</v>
      </c>
    </row>
    <row r="49" customFormat="false" ht="23.25" hidden="false" customHeight="true" outlineLevel="0" collapsed="false">
      <c r="A49" s="8" t="s">
        <v>384</v>
      </c>
      <c r="B49" s="8" t="s">
        <v>165</v>
      </c>
      <c r="C49" s="8" t="s">
        <v>80</v>
      </c>
      <c r="D49" s="8" t="s">
        <v>18</v>
      </c>
      <c r="E49" s="8" t="s">
        <v>385</v>
      </c>
      <c r="F49" s="8" t="s">
        <v>286</v>
      </c>
      <c r="G49" s="8" t="n">
        <v>2</v>
      </c>
      <c r="H49" s="36" t="s">
        <v>330</v>
      </c>
      <c r="I49" s="36" t="s">
        <v>360</v>
      </c>
      <c r="J49" s="8" t="s">
        <v>19</v>
      </c>
    </row>
    <row r="50" customFormat="false" ht="23.25" hidden="false" customHeight="true" outlineLevel="0" collapsed="false">
      <c r="A50" s="8" t="s">
        <v>386</v>
      </c>
      <c r="B50" s="8" t="s">
        <v>165</v>
      </c>
      <c r="C50" s="8" t="s">
        <v>80</v>
      </c>
      <c r="D50" s="8" t="s">
        <v>18</v>
      </c>
      <c r="E50" s="8" t="s">
        <v>387</v>
      </c>
      <c r="F50" s="8" t="s">
        <v>286</v>
      </c>
      <c r="G50" s="8" t="n">
        <v>1.5</v>
      </c>
      <c r="H50" s="36" t="s">
        <v>330</v>
      </c>
      <c r="I50" s="36" t="s">
        <v>360</v>
      </c>
      <c r="J50" s="8" t="s">
        <v>19</v>
      </c>
    </row>
    <row r="51" customFormat="false" ht="23.25" hidden="false" customHeight="true" outlineLevel="0" collapsed="false">
      <c r="A51" s="8" t="s">
        <v>388</v>
      </c>
      <c r="B51" s="8" t="s">
        <v>165</v>
      </c>
      <c r="C51" s="8" t="s">
        <v>80</v>
      </c>
      <c r="D51" s="8" t="s">
        <v>18</v>
      </c>
      <c r="E51" s="8" t="s">
        <v>389</v>
      </c>
      <c r="F51" s="8" t="s">
        <v>286</v>
      </c>
      <c r="G51" s="8" t="n">
        <v>1</v>
      </c>
      <c r="H51" s="36" t="s">
        <v>330</v>
      </c>
      <c r="I51" s="36" t="s">
        <v>360</v>
      </c>
      <c r="J51" s="8" t="s">
        <v>19</v>
      </c>
    </row>
    <row r="52" customFormat="false" ht="23.25" hidden="false" customHeight="true" outlineLevel="0" collapsed="false">
      <c r="A52" s="8" t="s">
        <v>390</v>
      </c>
      <c r="B52" s="8" t="s">
        <v>168</v>
      </c>
      <c r="C52" s="8" t="s">
        <v>80</v>
      </c>
      <c r="D52" s="8" t="s">
        <v>18</v>
      </c>
      <c r="E52" s="8" t="s">
        <v>391</v>
      </c>
      <c r="F52" s="8" t="s">
        <v>392</v>
      </c>
      <c r="G52" s="8" t="n">
        <v>3</v>
      </c>
      <c r="H52" s="36" t="s">
        <v>274</v>
      </c>
      <c r="I52" s="36" t="s">
        <v>360</v>
      </c>
      <c r="J52" s="8" t="s">
        <v>19</v>
      </c>
    </row>
    <row r="53" customFormat="false" ht="23.25" hidden="false" customHeight="true" outlineLevel="0" collapsed="false">
      <c r="A53" s="8" t="s">
        <v>393</v>
      </c>
      <c r="B53" s="8" t="s">
        <v>168</v>
      </c>
      <c r="C53" s="8" t="s">
        <v>80</v>
      </c>
      <c r="D53" s="8" t="s">
        <v>18</v>
      </c>
      <c r="E53" s="8" t="s">
        <v>394</v>
      </c>
      <c r="F53" s="8" t="s">
        <v>395</v>
      </c>
      <c r="G53" s="8" t="n">
        <v>3</v>
      </c>
      <c r="H53" s="36" t="s">
        <v>274</v>
      </c>
      <c r="I53" s="36" t="s">
        <v>360</v>
      </c>
      <c r="J53" s="8" t="s">
        <v>19</v>
      </c>
    </row>
    <row r="54" customFormat="false" ht="23.25" hidden="false" customHeight="true" outlineLevel="0" collapsed="false">
      <c r="A54" s="8" t="s">
        <v>396</v>
      </c>
      <c r="B54" s="8" t="s">
        <v>168</v>
      </c>
      <c r="C54" s="8" t="s">
        <v>80</v>
      </c>
      <c r="D54" s="8" t="s">
        <v>18</v>
      </c>
      <c r="E54" s="8" t="s">
        <v>397</v>
      </c>
      <c r="F54" s="8" t="s">
        <v>392</v>
      </c>
      <c r="G54" s="8" t="n">
        <v>1</v>
      </c>
      <c r="H54" s="36" t="s">
        <v>274</v>
      </c>
      <c r="I54" s="36" t="s">
        <v>360</v>
      </c>
      <c r="J54" s="8" t="s">
        <v>19</v>
      </c>
    </row>
    <row r="55" customFormat="false" ht="23.25" hidden="false" customHeight="true" outlineLevel="0" collapsed="false">
      <c r="A55" s="8" t="s">
        <v>398</v>
      </c>
      <c r="B55" s="8" t="s">
        <v>168</v>
      </c>
      <c r="C55" s="8" t="s">
        <v>80</v>
      </c>
      <c r="D55" s="8" t="s">
        <v>18</v>
      </c>
      <c r="E55" s="8" t="s">
        <v>399</v>
      </c>
      <c r="F55" s="8" t="s">
        <v>273</v>
      </c>
      <c r="G55" s="8" t="n">
        <v>1</v>
      </c>
      <c r="H55" s="36" t="s">
        <v>274</v>
      </c>
      <c r="I55" s="36" t="s">
        <v>360</v>
      </c>
      <c r="J55" s="8" t="s">
        <v>19</v>
      </c>
    </row>
    <row r="56" customFormat="false" ht="23.25" hidden="false" customHeight="true" outlineLevel="0" collapsed="false">
      <c r="A56" s="8" t="s">
        <v>400</v>
      </c>
      <c r="B56" s="8" t="s">
        <v>168</v>
      </c>
      <c r="C56" s="8" t="s">
        <v>80</v>
      </c>
      <c r="D56" s="8" t="s">
        <v>18</v>
      </c>
      <c r="E56" s="8" t="s">
        <v>401</v>
      </c>
      <c r="F56" s="8" t="s">
        <v>273</v>
      </c>
      <c r="G56" s="8" t="n">
        <v>1.5</v>
      </c>
      <c r="H56" s="36" t="s">
        <v>292</v>
      </c>
      <c r="I56" s="36" t="s">
        <v>360</v>
      </c>
      <c r="J56" s="8" t="s">
        <v>19</v>
      </c>
    </row>
    <row r="57" customFormat="false" ht="15" hidden="false" customHeight="true" outlineLevel="0" collapsed="false">
      <c r="A57" s="8" t="s">
        <v>402</v>
      </c>
      <c r="B57" s="8" t="s">
        <v>235</v>
      </c>
      <c r="C57" s="8" t="s">
        <v>78</v>
      </c>
      <c r="D57" s="8" t="s">
        <v>18</v>
      </c>
      <c r="E57" s="8" t="s">
        <v>403</v>
      </c>
      <c r="F57" s="8" t="s">
        <v>261</v>
      </c>
      <c r="G57" s="8" t="n">
        <v>2</v>
      </c>
      <c r="H57" s="36" t="s">
        <v>267</v>
      </c>
      <c r="I57" s="36" t="s">
        <v>360</v>
      </c>
      <c r="J57" s="8" t="s">
        <v>19</v>
      </c>
    </row>
    <row r="58" customFormat="false" ht="15" hidden="false" customHeight="true" outlineLevel="0" collapsed="false">
      <c r="A58" s="8" t="s">
        <v>404</v>
      </c>
      <c r="B58" s="8" t="s">
        <v>171</v>
      </c>
      <c r="C58" s="8" t="s">
        <v>81</v>
      </c>
      <c r="D58" s="8" t="s">
        <v>21</v>
      </c>
      <c r="E58" s="8" t="s">
        <v>405</v>
      </c>
      <c r="F58" s="8" t="s">
        <v>286</v>
      </c>
      <c r="G58" s="8" t="n">
        <v>1</v>
      </c>
      <c r="H58" s="36" t="s">
        <v>274</v>
      </c>
      <c r="I58" s="36" t="s">
        <v>360</v>
      </c>
      <c r="J58" s="8" t="s">
        <v>23</v>
      </c>
    </row>
    <row r="59" customFormat="false" ht="15" hidden="false" customHeight="true" outlineLevel="0" collapsed="false">
      <c r="A59" s="8" t="s">
        <v>406</v>
      </c>
      <c r="B59" s="8" t="s">
        <v>171</v>
      </c>
      <c r="C59" s="8" t="s">
        <v>81</v>
      </c>
      <c r="D59" s="8" t="s">
        <v>21</v>
      </c>
      <c r="E59" s="8" t="s">
        <v>407</v>
      </c>
      <c r="F59" s="8" t="s">
        <v>286</v>
      </c>
      <c r="G59" s="8" t="n">
        <v>1.5</v>
      </c>
      <c r="H59" s="36" t="s">
        <v>274</v>
      </c>
      <c r="I59" s="36" t="s">
        <v>360</v>
      </c>
      <c r="J59" s="8" t="s">
        <v>23</v>
      </c>
    </row>
    <row r="60" customFormat="false" ht="15" hidden="false" customHeight="true" outlineLevel="0" collapsed="false">
      <c r="A60" s="8" t="s">
        <v>408</v>
      </c>
      <c r="B60" s="8" t="s">
        <v>171</v>
      </c>
      <c r="C60" s="8" t="s">
        <v>81</v>
      </c>
      <c r="D60" s="8" t="s">
        <v>21</v>
      </c>
      <c r="E60" s="8" t="s">
        <v>409</v>
      </c>
      <c r="F60" s="8" t="s">
        <v>286</v>
      </c>
      <c r="G60" s="8" t="n">
        <v>1.5</v>
      </c>
      <c r="H60" s="36" t="s">
        <v>292</v>
      </c>
      <c r="I60" s="36" t="s">
        <v>360</v>
      </c>
      <c r="J60" s="8" t="s">
        <v>23</v>
      </c>
    </row>
    <row r="61" customFormat="false" ht="15" hidden="false" customHeight="true" outlineLevel="0" collapsed="false">
      <c r="A61" s="8" t="s">
        <v>410</v>
      </c>
      <c r="B61" s="8" t="s">
        <v>171</v>
      </c>
      <c r="C61" s="8" t="s">
        <v>81</v>
      </c>
      <c r="D61" s="8" t="s">
        <v>21</v>
      </c>
      <c r="E61" s="8" t="s">
        <v>411</v>
      </c>
      <c r="F61" s="8" t="s">
        <v>286</v>
      </c>
      <c r="G61" s="8" t="n">
        <v>1</v>
      </c>
      <c r="H61" s="36" t="s">
        <v>292</v>
      </c>
      <c r="I61" s="36" t="s">
        <v>360</v>
      </c>
      <c r="J61" s="8" t="s">
        <v>23</v>
      </c>
    </row>
    <row r="62" customFormat="false" ht="15" hidden="false" customHeight="true" outlineLevel="0" collapsed="false">
      <c r="A62" s="8" t="s">
        <v>412</v>
      </c>
      <c r="B62" s="8" t="s">
        <v>171</v>
      </c>
      <c r="C62" s="8" t="s">
        <v>81</v>
      </c>
      <c r="D62" s="8" t="s">
        <v>21</v>
      </c>
      <c r="E62" s="8" t="s">
        <v>413</v>
      </c>
      <c r="F62" s="8" t="s">
        <v>286</v>
      </c>
      <c r="G62" s="8" t="n">
        <v>1</v>
      </c>
      <c r="H62" s="36" t="s">
        <v>323</v>
      </c>
      <c r="I62" s="36" t="s">
        <v>360</v>
      </c>
      <c r="J62" s="8" t="s">
        <v>23</v>
      </c>
    </row>
    <row r="63" customFormat="false" ht="15" hidden="false" customHeight="true" outlineLevel="0" collapsed="false">
      <c r="A63" s="8" t="s">
        <v>414</v>
      </c>
      <c r="B63" s="8" t="s">
        <v>171</v>
      </c>
      <c r="C63" s="8" t="s">
        <v>81</v>
      </c>
      <c r="D63" s="8" t="s">
        <v>21</v>
      </c>
      <c r="E63" s="8" t="s">
        <v>415</v>
      </c>
      <c r="F63" s="8" t="s">
        <v>286</v>
      </c>
      <c r="G63" s="8" t="n">
        <v>1</v>
      </c>
      <c r="H63" s="36" t="s">
        <v>323</v>
      </c>
      <c r="I63" s="36" t="s">
        <v>360</v>
      </c>
      <c r="J63" s="8" t="s">
        <v>23</v>
      </c>
    </row>
    <row r="64" customFormat="false" ht="15" hidden="false" customHeight="true" outlineLevel="0" collapsed="false">
      <c r="A64" s="8" t="s">
        <v>416</v>
      </c>
      <c r="B64" s="8" t="s">
        <v>171</v>
      </c>
      <c r="C64" s="8" t="s">
        <v>81</v>
      </c>
      <c r="D64" s="8" t="s">
        <v>21</v>
      </c>
      <c r="E64" s="8" t="s">
        <v>417</v>
      </c>
      <c r="F64" s="8" t="s">
        <v>286</v>
      </c>
      <c r="G64" s="8" t="n">
        <v>1.5</v>
      </c>
      <c r="H64" s="36" t="s">
        <v>323</v>
      </c>
      <c r="I64" s="36" t="s">
        <v>360</v>
      </c>
      <c r="J64" s="8" t="s">
        <v>23</v>
      </c>
    </row>
    <row r="65" customFormat="false" ht="15" hidden="false" customHeight="true" outlineLevel="0" collapsed="false">
      <c r="A65" s="8" t="s">
        <v>418</v>
      </c>
      <c r="B65" s="8" t="s">
        <v>171</v>
      </c>
      <c r="C65" s="8" t="s">
        <v>81</v>
      </c>
      <c r="D65" s="8" t="s">
        <v>21</v>
      </c>
      <c r="E65" s="8" t="s">
        <v>419</v>
      </c>
      <c r="F65" s="8" t="s">
        <v>286</v>
      </c>
      <c r="G65" s="8" t="n">
        <v>1.5</v>
      </c>
      <c r="H65" s="36" t="s">
        <v>323</v>
      </c>
      <c r="I65" s="36" t="s">
        <v>360</v>
      </c>
      <c r="J65" s="8" t="s">
        <v>23</v>
      </c>
    </row>
    <row r="66" customFormat="false" ht="15" hidden="false" customHeight="true" outlineLevel="0" collapsed="false">
      <c r="A66" s="8" t="s">
        <v>420</v>
      </c>
      <c r="B66" s="8" t="s">
        <v>171</v>
      </c>
      <c r="C66" s="8" t="s">
        <v>81</v>
      </c>
      <c r="D66" s="8" t="s">
        <v>21</v>
      </c>
      <c r="E66" s="8" t="s">
        <v>421</v>
      </c>
      <c r="F66" s="8" t="s">
        <v>286</v>
      </c>
      <c r="G66" s="8" t="n">
        <v>1.5</v>
      </c>
      <c r="H66" s="36" t="s">
        <v>292</v>
      </c>
      <c r="I66" s="36" t="s">
        <v>360</v>
      </c>
      <c r="J66" s="8" t="s">
        <v>23</v>
      </c>
    </row>
    <row r="67" customFormat="false" ht="15" hidden="false" customHeight="true" outlineLevel="0" collapsed="false">
      <c r="A67" s="8" t="s">
        <v>422</v>
      </c>
      <c r="B67" s="8" t="s">
        <v>171</v>
      </c>
      <c r="C67" s="8" t="s">
        <v>81</v>
      </c>
      <c r="D67" s="8" t="s">
        <v>21</v>
      </c>
      <c r="E67" s="8" t="s">
        <v>423</v>
      </c>
      <c r="F67" s="8" t="s">
        <v>424</v>
      </c>
      <c r="G67" s="8" t="n">
        <v>2</v>
      </c>
      <c r="H67" s="36" t="s">
        <v>274</v>
      </c>
      <c r="I67" s="36" t="s">
        <v>360</v>
      </c>
      <c r="J67" s="8" t="s">
        <v>23</v>
      </c>
    </row>
    <row r="68" customFormat="false" ht="15" hidden="false" customHeight="true" outlineLevel="0" collapsed="false">
      <c r="A68" s="8" t="s">
        <v>425</v>
      </c>
      <c r="B68" s="8" t="s">
        <v>171</v>
      </c>
      <c r="C68" s="8" t="s">
        <v>81</v>
      </c>
      <c r="D68" s="8" t="s">
        <v>21</v>
      </c>
      <c r="E68" s="8" t="s">
        <v>426</v>
      </c>
      <c r="F68" s="8" t="s">
        <v>329</v>
      </c>
      <c r="G68" s="8" t="n">
        <v>2</v>
      </c>
      <c r="H68" s="36" t="s">
        <v>323</v>
      </c>
      <c r="I68" s="36" t="s">
        <v>360</v>
      </c>
      <c r="J68" s="8" t="s">
        <v>23</v>
      </c>
    </row>
    <row r="69" customFormat="false" ht="15" hidden="false" customHeight="true" outlineLevel="0" collapsed="false">
      <c r="A69" s="8" t="s">
        <v>427</v>
      </c>
      <c r="B69" s="8" t="s">
        <v>174</v>
      </c>
      <c r="C69" s="8" t="s">
        <v>81</v>
      </c>
      <c r="D69" s="8" t="s">
        <v>21</v>
      </c>
      <c r="E69" s="8" t="s">
        <v>428</v>
      </c>
      <c r="F69" s="8" t="s">
        <v>261</v>
      </c>
      <c r="G69" s="8" t="n">
        <v>1.5</v>
      </c>
      <c r="H69" s="36" t="s">
        <v>300</v>
      </c>
      <c r="I69" s="36" t="s">
        <v>360</v>
      </c>
      <c r="J69" s="8" t="s">
        <v>23</v>
      </c>
    </row>
    <row r="70" customFormat="false" ht="15" hidden="false" customHeight="true" outlineLevel="0" collapsed="false">
      <c r="A70" s="8" t="s">
        <v>429</v>
      </c>
      <c r="B70" s="8" t="s">
        <v>174</v>
      </c>
      <c r="C70" s="8" t="s">
        <v>81</v>
      </c>
      <c r="D70" s="8" t="s">
        <v>21</v>
      </c>
      <c r="E70" s="8" t="s">
        <v>430</v>
      </c>
      <c r="F70" s="8" t="s">
        <v>286</v>
      </c>
      <c r="G70" s="8" t="n">
        <v>3</v>
      </c>
      <c r="H70" s="36" t="s">
        <v>330</v>
      </c>
      <c r="I70" s="36" t="s">
        <v>360</v>
      </c>
      <c r="J70" s="8" t="s">
        <v>23</v>
      </c>
    </row>
    <row r="71" customFormat="false" ht="15" hidden="false" customHeight="true" outlineLevel="0" collapsed="false">
      <c r="A71" s="8" t="s">
        <v>431</v>
      </c>
      <c r="B71" s="8" t="s">
        <v>174</v>
      </c>
      <c r="C71" s="8" t="s">
        <v>81</v>
      </c>
      <c r="D71" s="8" t="s">
        <v>21</v>
      </c>
      <c r="E71" s="8" t="s">
        <v>432</v>
      </c>
      <c r="F71" s="8" t="s">
        <v>286</v>
      </c>
      <c r="G71" s="8" t="n">
        <v>1.5</v>
      </c>
      <c r="H71" s="36" t="s">
        <v>330</v>
      </c>
      <c r="I71" s="36" t="s">
        <v>360</v>
      </c>
      <c r="J71" s="8" t="s">
        <v>23</v>
      </c>
    </row>
    <row r="72" customFormat="false" ht="15" hidden="false" customHeight="true" outlineLevel="0" collapsed="false">
      <c r="A72" s="8" t="s">
        <v>433</v>
      </c>
      <c r="B72" s="8" t="s">
        <v>174</v>
      </c>
      <c r="C72" s="8" t="s">
        <v>81</v>
      </c>
      <c r="D72" s="8" t="s">
        <v>21</v>
      </c>
      <c r="E72" s="8" t="s">
        <v>434</v>
      </c>
      <c r="F72" s="8" t="s">
        <v>435</v>
      </c>
      <c r="G72" s="8" t="n">
        <v>2</v>
      </c>
      <c r="H72" s="36" t="s">
        <v>330</v>
      </c>
      <c r="I72" s="36" t="s">
        <v>360</v>
      </c>
      <c r="J72" s="8" t="s">
        <v>23</v>
      </c>
    </row>
    <row r="73" customFormat="false" ht="15" hidden="false" customHeight="true" outlineLevel="0" collapsed="false">
      <c r="A73" s="8" t="s">
        <v>436</v>
      </c>
      <c r="B73" s="8" t="s">
        <v>235</v>
      </c>
      <c r="C73" s="8" t="s">
        <v>78</v>
      </c>
      <c r="D73" s="8" t="s">
        <v>21</v>
      </c>
      <c r="E73" s="8" t="s">
        <v>437</v>
      </c>
      <c r="F73" s="8" t="s">
        <v>261</v>
      </c>
      <c r="G73" s="8" t="n">
        <v>2</v>
      </c>
      <c r="H73" s="36" t="s">
        <v>267</v>
      </c>
      <c r="I73" s="36" t="s">
        <v>360</v>
      </c>
      <c r="J73" s="8" t="s">
        <v>23</v>
      </c>
    </row>
    <row r="74" customFormat="false" ht="23.25" hidden="false" customHeight="true" outlineLevel="0" collapsed="false">
      <c r="A74" s="8" t="s">
        <v>438</v>
      </c>
      <c r="B74" s="8" t="s">
        <v>177</v>
      </c>
      <c r="C74" s="8" t="s">
        <v>82</v>
      </c>
      <c r="D74" s="8" t="s">
        <v>25</v>
      </c>
      <c r="E74" s="8" t="s">
        <v>439</v>
      </c>
      <c r="F74" s="8" t="s">
        <v>286</v>
      </c>
      <c r="G74" s="8" t="n">
        <v>1</v>
      </c>
      <c r="H74" s="36" t="s">
        <v>274</v>
      </c>
      <c r="I74" s="36" t="s">
        <v>360</v>
      </c>
      <c r="J74" s="8" t="s">
        <v>27</v>
      </c>
    </row>
    <row r="75" customFormat="false" ht="23.25" hidden="false" customHeight="true" outlineLevel="0" collapsed="false">
      <c r="A75" s="8" t="s">
        <v>440</v>
      </c>
      <c r="B75" s="8" t="s">
        <v>177</v>
      </c>
      <c r="C75" s="8" t="s">
        <v>82</v>
      </c>
      <c r="D75" s="8" t="s">
        <v>25</v>
      </c>
      <c r="E75" s="8" t="s">
        <v>441</v>
      </c>
      <c r="F75" s="8" t="s">
        <v>286</v>
      </c>
      <c r="G75" s="8" t="n">
        <v>1.5</v>
      </c>
      <c r="H75" s="36" t="s">
        <v>274</v>
      </c>
      <c r="I75" s="36" t="s">
        <v>360</v>
      </c>
      <c r="J75" s="8" t="s">
        <v>27</v>
      </c>
    </row>
    <row r="76" customFormat="false" ht="23.25" hidden="false" customHeight="true" outlineLevel="0" collapsed="false">
      <c r="A76" s="8" t="s">
        <v>442</v>
      </c>
      <c r="B76" s="8" t="s">
        <v>177</v>
      </c>
      <c r="C76" s="8" t="s">
        <v>82</v>
      </c>
      <c r="D76" s="8" t="s">
        <v>25</v>
      </c>
      <c r="E76" s="8" t="s">
        <v>443</v>
      </c>
      <c r="F76" s="8" t="s">
        <v>286</v>
      </c>
      <c r="G76" s="8" t="n">
        <v>0.5</v>
      </c>
      <c r="H76" s="36" t="s">
        <v>292</v>
      </c>
      <c r="I76" s="36" t="s">
        <v>360</v>
      </c>
      <c r="J76" s="8" t="s">
        <v>27</v>
      </c>
    </row>
    <row r="77" customFormat="false" ht="23.25" hidden="false" customHeight="true" outlineLevel="0" collapsed="false">
      <c r="A77" s="8" t="s">
        <v>444</v>
      </c>
      <c r="B77" s="8" t="s">
        <v>177</v>
      </c>
      <c r="C77" s="8" t="s">
        <v>82</v>
      </c>
      <c r="D77" s="8" t="s">
        <v>25</v>
      </c>
      <c r="E77" s="8" t="s">
        <v>445</v>
      </c>
      <c r="F77" s="8" t="s">
        <v>286</v>
      </c>
      <c r="G77" s="8" t="n">
        <v>1</v>
      </c>
      <c r="H77" s="36" t="s">
        <v>292</v>
      </c>
      <c r="I77" s="36" t="s">
        <v>360</v>
      </c>
      <c r="J77" s="8" t="s">
        <v>27</v>
      </c>
    </row>
    <row r="78" customFormat="false" ht="23.25" hidden="false" customHeight="true" outlineLevel="0" collapsed="false">
      <c r="A78" s="8" t="s">
        <v>446</v>
      </c>
      <c r="B78" s="8" t="s">
        <v>177</v>
      </c>
      <c r="C78" s="8" t="s">
        <v>82</v>
      </c>
      <c r="D78" s="8" t="s">
        <v>25</v>
      </c>
      <c r="E78" s="8" t="s">
        <v>447</v>
      </c>
      <c r="F78" s="8" t="s">
        <v>286</v>
      </c>
      <c r="G78" s="8" t="n">
        <v>1</v>
      </c>
      <c r="H78" s="36" t="s">
        <v>292</v>
      </c>
      <c r="I78" s="36" t="s">
        <v>360</v>
      </c>
      <c r="J78" s="8" t="s">
        <v>27</v>
      </c>
    </row>
    <row r="79" customFormat="false" ht="23.25" hidden="false" customHeight="true" outlineLevel="0" collapsed="false">
      <c r="A79" s="8" t="s">
        <v>448</v>
      </c>
      <c r="B79" s="8" t="s">
        <v>177</v>
      </c>
      <c r="C79" s="8" t="s">
        <v>82</v>
      </c>
      <c r="D79" s="8" t="s">
        <v>25</v>
      </c>
      <c r="E79" s="8" t="s">
        <v>449</v>
      </c>
      <c r="F79" s="8" t="s">
        <v>291</v>
      </c>
      <c r="G79" s="8" t="n">
        <v>1</v>
      </c>
      <c r="H79" s="36" t="s">
        <v>330</v>
      </c>
      <c r="I79" s="36" t="s">
        <v>360</v>
      </c>
      <c r="J79" s="8" t="s">
        <v>27</v>
      </c>
    </row>
    <row r="80" customFormat="false" ht="23.25" hidden="false" customHeight="true" outlineLevel="0" collapsed="false">
      <c r="A80" s="8" t="s">
        <v>450</v>
      </c>
      <c r="B80" s="8" t="s">
        <v>180</v>
      </c>
      <c r="C80" s="8" t="s">
        <v>82</v>
      </c>
      <c r="D80" s="8" t="s">
        <v>25</v>
      </c>
      <c r="E80" s="8" t="s">
        <v>451</v>
      </c>
      <c r="F80" s="8" t="s">
        <v>286</v>
      </c>
      <c r="G80" s="8" t="n">
        <v>2</v>
      </c>
      <c r="H80" s="36" t="s">
        <v>323</v>
      </c>
      <c r="I80" s="36" t="s">
        <v>360</v>
      </c>
      <c r="J80" s="8" t="s">
        <v>27</v>
      </c>
    </row>
    <row r="81" customFormat="false" ht="23.25" hidden="false" customHeight="true" outlineLevel="0" collapsed="false">
      <c r="A81" s="8" t="s">
        <v>452</v>
      </c>
      <c r="B81" s="8" t="s">
        <v>180</v>
      </c>
      <c r="C81" s="8" t="s">
        <v>82</v>
      </c>
      <c r="D81" s="8" t="s">
        <v>25</v>
      </c>
      <c r="E81" s="8" t="s">
        <v>453</v>
      </c>
      <c r="F81" s="8" t="s">
        <v>286</v>
      </c>
      <c r="G81" s="8" t="n">
        <v>1.5</v>
      </c>
      <c r="H81" s="36" t="s">
        <v>323</v>
      </c>
      <c r="I81" s="36" t="s">
        <v>360</v>
      </c>
      <c r="J81" s="8" t="s">
        <v>27</v>
      </c>
    </row>
    <row r="82" customFormat="false" ht="23.25" hidden="false" customHeight="true" outlineLevel="0" collapsed="false">
      <c r="A82" s="8" t="s">
        <v>454</v>
      </c>
      <c r="B82" s="8" t="s">
        <v>180</v>
      </c>
      <c r="C82" s="8" t="s">
        <v>82</v>
      </c>
      <c r="D82" s="8" t="s">
        <v>25</v>
      </c>
      <c r="E82" s="8" t="s">
        <v>455</v>
      </c>
      <c r="F82" s="8" t="s">
        <v>286</v>
      </c>
      <c r="G82" s="8" t="n">
        <v>1.5</v>
      </c>
      <c r="H82" s="36" t="s">
        <v>323</v>
      </c>
      <c r="I82" s="36" t="s">
        <v>360</v>
      </c>
      <c r="J82" s="8" t="s">
        <v>27</v>
      </c>
    </row>
    <row r="83" customFormat="false" ht="15" hidden="false" customHeight="true" outlineLevel="0" collapsed="false">
      <c r="A83" s="8" t="s">
        <v>456</v>
      </c>
      <c r="B83" s="8" t="s">
        <v>183</v>
      </c>
      <c r="C83" s="8" t="s">
        <v>86</v>
      </c>
      <c r="D83" s="8" t="s">
        <v>25</v>
      </c>
      <c r="E83" s="8" t="s">
        <v>457</v>
      </c>
      <c r="F83" s="8" t="s">
        <v>329</v>
      </c>
      <c r="G83" s="8" t="n">
        <v>2</v>
      </c>
      <c r="H83" s="36" t="s">
        <v>262</v>
      </c>
      <c r="I83" s="36" t="s">
        <v>360</v>
      </c>
      <c r="J83" s="8" t="s">
        <v>27</v>
      </c>
    </row>
    <row r="84" customFormat="false" ht="15" hidden="false" customHeight="true" outlineLevel="0" collapsed="false">
      <c r="A84" s="8" t="s">
        <v>458</v>
      </c>
      <c r="B84" s="8" t="s">
        <v>183</v>
      </c>
      <c r="C84" s="8" t="s">
        <v>86</v>
      </c>
      <c r="D84" s="8" t="s">
        <v>25</v>
      </c>
      <c r="E84" s="8" t="s">
        <v>459</v>
      </c>
      <c r="F84" s="8" t="s">
        <v>329</v>
      </c>
      <c r="G84" s="8" t="n">
        <v>3</v>
      </c>
      <c r="H84" s="36" t="s">
        <v>262</v>
      </c>
      <c r="I84" s="36" t="s">
        <v>360</v>
      </c>
      <c r="J84" s="8" t="s">
        <v>27</v>
      </c>
    </row>
    <row r="85" customFormat="false" ht="15" hidden="false" customHeight="true" outlineLevel="0" collapsed="false">
      <c r="A85" s="8" t="s">
        <v>460</v>
      </c>
      <c r="B85" s="8" t="s">
        <v>183</v>
      </c>
      <c r="C85" s="8" t="s">
        <v>86</v>
      </c>
      <c r="D85" s="8" t="s">
        <v>25</v>
      </c>
      <c r="E85" s="8" t="s">
        <v>461</v>
      </c>
      <c r="F85" s="8" t="s">
        <v>329</v>
      </c>
      <c r="G85" s="8" t="n">
        <v>1.5</v>
      </c>
      <c r="H85" s="36" t="s">
        <v>262</v>
      </c>
      <c r="I85" s="36" t="s">
        <v>360</v>
      </c>
      <c r="J85" s="8" t="s">
        <v>27</v>
      </c>
    </row>
    <row r="86" customFormat="false" ht="15" hidden="false" customHeight="true" outlineLevel="0" collapsed="false">
      <c r="A86" s="8" t="s">
        <v>462</v>
      </c>
      <c r="B86" s="8" t="s">
        <v>183</v>
      </c>
      <c r="C86" s="8" t="s">
        <v>86</v>
      </c>
      <c r="D86" s="8" t="s">
        <v>25</v>
      </c>
      <c r="E86" s="8" t="s">
        <v>463</v>
      </c>
      <c r="F86" s="8" t="s">
        <v>283</v>
      </c>
      <c r="G86" s="8" t="n">
        <v>2</v>
      </c>
      <c r="H86" s="36" t="s">
        <v>330</v>
      </c>
      <c r="I86" s="36" t="s">
        <v>360</v>
      </c>
      <c r="J86" s="8" t="s">
        <v>27</v>
      </c>
    </row>
    <row r="87" customFormat="false" ht="15" hidden="false" customHeight="true" outlineLevel="0" collapsed="false">
      <c r="A87" s="8" t="s">
        <v>464</v>
      </c>
      <c r="B87" s="8" t="s">
        <v>183</v>
      </c>
      <c r="C87" s="8" t="s">
        <v>86</v>
      </c>
      <c r="D87" s="8" t="s">
        <v>25</v>
      </c>
      <c r="E87" s="8" t="s">
        <v>465</v>
      </c>
      <c r="F87" s="8" t="s">
        <v>329</v>
      </c>
      <c r="G87" s="8" t="n">
        <v>1.5</v>
      </c>
      <c r="H87" s="36" t="s">
        <v>300</v>
      </c>
      <c r="I87" s="36" t="s">
        <v>360</v>
      </c>
      <c r="J87" s="8" t="s">
        <v>27</v>
      </c>
    </row>
    <row r="88" customFormat="false" ht="15" hidden="false" customHeight="true" outlineLevel="0" collapsed="false">
      <c r="A88" s="8" t="s">
        <v>466</v>
      </c>
      <c r="B88" s="8" t="s">
        <v>235</v>
      </c>
      <c r="C88" s="8" t="s">
        <v>78</v>
      </c>
      <c r="D88" s="8" t="s">
        <v>25</v>
      </c>
      <c r="E88" s="8" t="s">
        <v>467</v>
      </c>
      <c r="F88" s="8" t="s">
        <v>261</v>
      </c>
      <c r="G88" s="8" t="n">
        <v>1.5</v>
      </c>
      <c r="H88" s="36" t="s">
        <v>267</v>
      </c>
      <c r="I88" s="36" t="s">
        <v>360</v>
      </c>
      <c r="J88" s="8" t="s">
        <v>27</v>
      </c>
    </row>
    <row r="89" customFormat="false" ht="23.25" hidden="false" customHeight="true" outlineLevel="0" collapsed="false">
      <c r="A89" s="11" t="s">
        <v>468</v>
      </c>
      <c r="B89" s="11" t="s">
        <v>186</v>
      </c>
      <c r="C89" s="11" t="s">
        <v>83</v>
      </c>
      <c r="D89" s="11" t="s">
        <v>31</v>
      </c>
      <c r="E89" s="11" t="s">
        <v>469</v>
      </c>
      <c r="F89" s="11" t="s">
        <v>470</v>
      </c>
      <c r="G89" s="11" t="n">
        <v>2</v>
      </c>
      <c r="H89" s="36" t="s">
        <v>274</v>
      </c>
      <c r="I89" s="36" t="s">
        <v>360</v>
      </c>
      <c r="J89" s="11" t="s">
        <v>32</v>
      </c>
    </row>
    <row r="90" customFormat="false" ht="23.25" hidden="false" customHeight="true" outlineLevel="0" collapsed="false">
      <c r="A90" s="11" t="s">
        <v>471</v>
      </c>
      <c r="B90" s="11" t="s">
        <v>186</v>
      </c>
      <c r="C90" s="11" t="s">
        <v>83</v>
      </c>
      <c r="D90" s="11" t="s">
        <v>31</v>
      </c>
      <c r="E90" s="11" t="s">
        <v>472</v>
      </c>
      <c r="F90" s="11" t="s">
        <v>286</v>
      </c>
      <c r="G90" s="11" t="n">
        <v>1.5</v>
      </c>
      <c r="H90" s="36" t="s">
        <v>274</v>
      </c>
      <c r="I90" s="36" t="s">
        <v>360</v>
      </c>
      <c r="J90" s="11" t="s">
        <v>32</v>
      </c>
    </row>
    <row r="91" customFormat="false" ht="23.25" hidden="false" customHeight="true" outlineLevel="0" collapsed="false">
      <c r="A91" s="11" t="s">
        <v>473</v>
      </c>
      <c r="B91" s="11" t="s">
        <v>186</v>
      </c>
      <c r="C91" s="11" t="s">
        <v>83</v>
      </c>
      <c r="D91" s="11" t="s">
        <v>31</v>
      </c>
      <c r="E91" s="11" t="s">
        <v>474</v>
      </c>
      <c r="F91" s="11" t="s">
        <v>475</v>
      </c>
      <c r="G91" s="11" t="n">
        <v>2</v>
      </c>
      <c r="H91" s="36" t="s">
        <v>292</v>
      </c>
      <c r="I91" s="36" t="s">
        <v>360</v>
      </c>
      <c r="J91" s="11" t="s">
        <v>32</v>
      </c>
    </row>
    <row r="92" customFormat="false" ht="23.25" hidden="false" customHeight="true" outlineLevel="0" collapsed="false">
      <c r="A92" s="11" t="s">
        <v>476</v>
      </c>
      <c r="B92" s="11" t="s">
        <v>186</v>
      </c>
      <c r="C92" s="11" t="s">
        <v>83</v>
      </c>
      <c r="D92" s="11" t="s">
        <v>31</v>
      </c>
      <c r="E92" s="11" t="s">
        <v>477</v>
      </c>
      <c r="F92" s="11" t="s">
        <v>283</v>
      </c>
      <c r="G92" s="11" t="n">
        <v>1.5</v>
      </c>
      <c r="H92" s="36" t="s">
        <v>292</v>
      </c>
      <c r="I92" s="36" t="s">
        <v>360</v>
      </c>
      <c r="J92" s="11" t="s">
        <v>32</v>
      </c>
    </row>
    <row r="93" customFormat="false" ht="23.25" hidden="false" customHeight="true" outlineLevel="0" collapsed="false">
      <c r="A93" s="11" t="s">
        <v>478</v>
      </c>
      <c r="B93" s="11" t="s">
        <v>186</v>
      </c>
      <c r="C93" s="11" t="s">
        <v>83</v>
      </c>
      <c r="D93" s="11" t="s">
        <v>31</v>
      </c>
      <c r="E93" s="11" t="s">
        <v>479</v>
      </c>
      <c r="F93" s="11" t="s">
        <v>480</v>
      </c>
      <c r="G93" s="11" t="n">
        <v>2.5</v>
      </c>
      <c r="H93" s="36" t="s">
        <v>292</v>
      </c>
      <c r="I93" s="36" t="s">
        <v>360</v>
      </c>
      <c r="J93" s="11" t="s">
        <v>32</v>
      </c>
    </row>
    <row r="94" customFormat="false" ht="23.25" hidden="false" customHeight="true" outlineLevel="0" collapsed="false">
      <c r="A94" s="11" t="s">
        <v>481</v>
      </c>
      <c r="B94" s="11" t="s">
        <v>186</v>
      </c>
      <c r="C94" s="11" t="s">
        <v>83</v>
      </c>
      <c r="D94" s="11" t="s">
        <v>31</v>
      </c>
      <c r="E94" s="11" t="s">
        <v>482</v>
      </c>
      <c r="F94" s="11" t="s">
        <v>483</v>
      </c>
      <c r="G94" s="11" t="n">
        <v>2.5</v>
      </c>
      <c r="H94" s="36" t="s">
        <v>292</v>
      </c>
      <c r="I94" s="36" t="s">
        <v>360</v>
      </c>
      <c r="J94" s="11" t="s">
        <v>32</v>
      </c>
    </row>
    <row r="95" customFormat="false" ht="23.25" hidden="false" customHeight="true" outlineLevel="0" collapsed="false">
      <c r="A95" s="11" t="s">
        <v>484</v>
      </c>
      <c r="B95" s="11" t="s">
        <v>186</v>
      </c>
      <c r="C95" s="11" t="s">
        <v>83</v>
      </c>
      <c r="D95" s="11" t="s">
        <v>31</v>
      </c>
      <c r="E95" s="11" t="s">
        <v>485</v>
      </c>
      <c r="F95" s="11" t="s">
        <v>329</v>
      </c>
      <c r="G95" s="11" t="n">
        <v>1</v>
      </c>
      <c r="H95" s="36" t="s">
        <v>486</v>
      </c>
      <c r="I95" s="36" t="s">
        <v>360</v>
      </c>
      <c r="J95" s="11" t="s">
        <v>32</v>
      </c>
    </row>
    <row r="96" customFormat="false" ht="23.25" hidden="false" customHeight="true" outlineLevel="0" collapsed="false">
      <c r="A96" s="11" t="s">
        <v>487</v>
      </c>
      <c r="B96" s="11" t="s">
        <v>189</v>
      </c>
      <c r="C96" s="11" t="s">
        <v>83</v>
      </c>
      <c r="D96" s="11" t="s">
        <v>31</v>
      </c>
      <c r="E96" s="11" t="s">
        <v>488</v>
      </c>
      <c r="F96" s="11" t="s">
        <v>286</v>
      </c>
      <c r="G96" s="11" t="n">
        <v>2</v>
      </c>
      <c r="H96" s="36" t="s">
        <v>323</v>
      </c>
      <c r="I96" s="36" t="s">
        <v>360</v>
      </c>
      <c r="J96" s="11" t="s">
        <v>32</v>
      </c>
    </row>
    <row r="97" customFormat="false" ht="23.25" hidden="false" customHeight="true" outlineLevel="0" collapsed="false">
      <c r="A97" s="11" t="s">
        <v>489</v>
      </c>
      <c r="B97" s="11" t="s">
        <v>189</v>
      </c>
      <c r="C97" s="11" t="s">
        <v>83</v>
      </c>
      <c r="D97" s="11" t="s">
        <v>31</v>
      </c>
      <c r="E97" s="11" t="s">
        <v>490</v>
      </c>
      <c r="F97" s="11" t="s">
        <v>475</v>
      </c>
      <c r="G97" s="11" t="n">
        <v>2</v>
      </c>
      <c r="H97" s="36" t="s">
        <v>323</v>
      </c>
      <c r="I97" s="36" t="s">
        <v>360</v>
      </c>
      <c r="J97" s="11" t="s">
        <v>32</v>
      </c>
    </row>
    <row r="98" customFormat="false" ht="23.25" hidden="false" customHeight="true" outlineLevel="0" collapsed="false">
      <c r="A98" s="11" t="s">
        <v>491</v>
      </c>
      <c r="B98" s="11" t="s">
        <v>189</v>
      </c>
      <c r="C98" s="11" t="s">
        <v>83</v>
      </c>
      <c r="D98" s="11" t="s">
        <v>31</v>
      </c>
      <c r="E98" s="11" t="s">
        <v>492</v>
      </c>
      <c r="F98" s="11" t="s">
        <v>286</v>
      </c>
      <c r="G98" s="11" t="n">
        <v>2.5</v>
      </c>
      <c r="H98" s="36" t="s">
        <v>323</v>
      </c>
      <c r="I98" s="36" t="s">
        <v>360</v>
      </c>
      <c r="J98" s="11" t="s">
        <v>32</v>
      </c>
    </row>
    <row r="99" customFormat="false" ht="23.25" hidden="false" customHeight="true" outlineLevel="0" collapsed="false">
      <c r="A99" s="11" t="s">
        <v>493</v>
      </c>
      <c r="B99" s="11" t="s">
        <v>189</v>
      </c>
      <c r="C99" s="11" t="s">
        <v>83</v>
      </c>
      <c r="D99" s="11" t="s">
        <v>31</v>
      </c>
      <c r="E99" s="11" t="s">
        <v>494</v>
      </c>
      <c r="F99" s="11" t="s">
        <v>495</v>
      </c>
      <c r="G99" s="11" t="n">
        <v>1.5</v>
      </c>
      <c r="H99" s="36" t="s">
        <v>323</v>
      </c>
      <c r="I99" s="36" t="s">
        <v>360</v>
      </c>
      <c r="J99" s="11" t="s">
        <v>32</v>
      </c>
    </row>
    <row r="100" customFormat="false" ht="23.25" hidden="false" customHeight="true" outlineLevel="0" collapsed="false">
      <c r="A100" s="11" t="s">
        <v>496</v>
      </c>
      <c r="B100" s="11" t="s">
        <v>189</v>
      </c>
      <c r="C100" s="11" t="s">
        <v>83</v>
      </c>
      <c r="D100" s="11" t="s">
        <v>31</v>
      </c>
      <c r="E100" s="11" t="s">
        <v>497</v>
      </c>
      <c r="F100" s="11" t="s">
        <v>329</v>
      </c>
      <c r="G100" s="11" t="n">
        <v>1</v>
      </c>
      <c r="H100" s="36" t="s">
        <v>323</v>
      </c>
      <c r="I100" s="36" t="s">
        <v>360</v>
      </c>
      <c r="J100" s="11" t="s">
        <v>32</v>
      </c>
    </row>
    <row r="101" customFormat="false" ht="23.25" hidden="false" customHeight="true" outlineLevel="0" collapsed="false">
      <c r="A101" s="11" t="s">
        <v>498</v>
      </c>
      <c r="B101" s="11" t="s">
        <v>192</v>
      </c>
      <c r="C101" s="11" t="s">
        <v>83</v>
      </c>
      <c r="D101" s="11" t="s">
        <v>31</v>
      </c>
      <c r="E101" s="11" t="s">
        <v>499</v>
      </c>
      <c r="F101" s="11" t="s">
        <v>475</v>
      </c>
      <c r="G101" s="11" t="n">
        <v>2</v>
      </c>
      <c r="H101" s="36" t="s">
        <v>330</v>
      </c>
      <c r="I101" s="36" t="s">
        <v>360</v>
      </c>
      <c r="J101" s="11" t="s">
        <v>32</v>
      </c>
    </row>
    <row r="102" customFormat="false" ht="23.25" hidden="false" customHeight="true" outlineLevel="0" collapsed="false">
      <c r="A102" s="11" t="s">
        <v>500</v>
      </c>
      <c r="B102" s="11" t="s">
        <v>192</v>
      </c>
      <c r="C102" s="11" t="s">
        <v>83</v>
      </c>
      <c r="D102" s="11" t="s">
        <v>31</v>
      </c>
      <c r="E102" s="11" t="s">
        <v>501</v>
      </c>
      <c r="F102" s="11" t="s">
        <v>286</v>
      </c>
      <c r="G102" s="11" t="n">
        <v>1.5</v>
      </c>
      <c r="H102" s="36" t="s">
        <v>330</v>
      </c>
      <c r="I102" s="36" t="s">
        <v>360</v>
      </c>
      <c r="J102" s="11" t="s">
        <v>32</v>
      </c>
    </row>
    <row r="103" customFormat="false" ht="23.25" hidden="false" customHeight="true" outlineLevel="0" collapsed="false">
      <c r="A103" s="11" t="s">
        <v>502</v>
      </c>
      <c r="B103" s="11" t="s">
        <v>192</v>
      </c>
      <c r="C103" s="11" t="s">
        <v>83</v>
      </c>
      <c r="D103" s="11" t="s">
        <v>31</v>
      </c>
      <c r="E103" s="11" t="s">
        <v>503</v>
      </c>
      <c r="F103" s="11" t="s">
        <v>424</v>
      </c>
      <c r="G103" s="11" t="n">
        <v>1.5</v>
      </c>
      <c r="H103" s="36" t="s">
        <v>330</v>
      </c>
      <c r="I103" s="36" t="s">
        <v>360</v>
      </c>
      <c r="J103" s="11" t="s">
        <v>32</v>
      </c>
    </row>
    <row r="104" customFormat="false" ht="23.25" hidden="false" customHeight="true" outlineLevel="0" collapsed="false">
      <c r="A104" s="11" t="s">
        <v>504</v>
      </c>
      <c r="B104" s="11" t="s">
        <v>192</v>
      </c>
      <c r="C104" s="11" t="s">
        <v>83</v>
      </c>
      <c r="D104" s="11" t="s">
        <v>31</v>
      </c>
      <c r="E104" s="11" t="s">
        <v>505</v>
      </c>
      <c r="F104" s="11" t="s">
        <v>329</v>
      </c>
      <c r="G104" s="11" t="n">
        <v>1</v>
      </c>
      <c r="H104" s="36" t="s">
        <v>330</v>
      </c>
      <c r="I104" s="36" t="s">
        <v>360</v>
      </c>
      <c r="J104" s="11" t="s">
        <v>32</v>
      </c>
    </row>
    <row r="105" customFormat="false" ht="23.25" hidden="false" customHeight="true" outlineLevel="0" collapsed="false">
      <c r="A105" s="11" t="s">
        <v>506</v>
      </c>
      <c r="B105" s="11" t="s">
        <v>198</v>
      </c>
      <c r="C105" s="11" t="s">
        <v>83</v>
      </c>
      <c r="D105" s="11" t="s">
        <v>31</v>
      </c>
      <c r="E105" s="11" t="s">
        <v>507</v>
      </c>
      <c r="F105" s="11" t="s">
        <v>495</v>
      </c>
      <c r="G105" s="11" t="n">
        <v>2</v>
      </c>
      <c r="H105" s="36" t="s">
        <v>330</v>
      </c>
      <c r="I105" s="36" t="s">
        <v>360</v>
      </c>
      <c r="J105" s="11" t="s">
        <v>32</v>
      </c>
    </row>
    <row r="106" customFormat="false" ht="23.25" hidden="false" customHeight="true" outlineLevel="0" collapsed="false">
      <c r="A106" s="11" t="s">
        <v>508</v>
      </c>
      <c r="B106" s="11" t="s">
        <v>198</v>
      </c>
      <c r="C106" s="11" t="s">
        <v>83</v>
      </c>
      <c r="D106" s="11" t="s">
        <v>31</v>
      </c>
      <c r="E106" s="11" t="s">
        <v>509</v>
      </c>
      <c r="F106" s="11" t="s">
        <v>480</v>
      </c>
      <c r="G106" s="11" t="n">
        <v>2.5</v>
      </c>
      <c r="H106" s="36" t="s">
        <v>330</v>
      </c>
      <c r="I106" s="36" t="s">
        <v>360</v>
      </c>
      <c r="J106" s="11" t="s">
        <v>32</v>
      </c>
    </row>
    <row r="107" customFormat="false" ht="23.25" hidden="false" customHeight="true" outlineLevel="0" collapsed="false">
      <c r="A107" s="11" t="s">
        <v>510</v>
      </c>
      <c r="B107" s="11" t="s">
        <v>198</v>
      </c>
      <c r="C107" s="11" t="s">
        <v>83</v>
      </c>
      <c r="D107" s="11" t="s">
        <v>31</v>
      </c>
      <c r="E107" s="11" t="s">
        <v>511</v>
      </c>
      <c r="F107" s="11" t="s">
        <v>329</v>
      </c>
      <c r="G107" s="11" t="n">
        <v>1</v>
      </c>
      <c r="H107" s="36" t="s">
        <v>330</v>
      </c>
      <c r="I107" s="36" t="s">
        <v>360</v>
      </c>
      <c r="J107" s="11" t="s">
        <v>32</v>
      </c>
    </row>
    <row r="108" customFormat="false" ht="23.25" hidden="false" customHeight="true" outlineLevel="0" collapsed="false">
      <c r="A108" s="11" t="s">
        <v>512</v>
      </c>
      <c r="B108" s="11" t="s">
        <v>216</v>
      </c>
      <c r="C108" s="11" t="s">
        <v>84</v>
      </c>
      <c r="D108" s="11" t="s">
        <v>31</v>
      </c>
      <c r="E108" s="11" t="s">
        <v>513</v>
      </c>
      <c r="F108" s="11" t="s">
        <v>286</v>
      </c>
      <c r="G108" s="11" t="n">
        <v>1</v>
      </c>
      <c r="H108" s="36" t="s">
        <v>274</v>
      </c>
      <c r="I108" s="36" t="s">
        <v>360</v>
      </c>
      <c r="J108" s="11" t="s">
        <v>32</v>
      </c>
    </row>
    <row r="109" customFormat="false" ht="15" hidden="false" customHeight="true" outlineLevel="0" collapsed="false">
      <c r="A109" s="11" t="s">
        <v>514</v>
      </c>
      <c r="B109" s="11" t="s">
        <v>216</v>
      </c>
      <c r="C109" s="11" t="s">
        <v>84</v>
      </c>
      <c r="D109" s="11" t="s">
        <v>31</v>
      </c>
      <c r="E109" s="11" t="s">
        <v>515</v>
      </c>
      <c r="F109" s="11" t="s">
        <v>516</v>
      </c>
      <c r="G109" s="11" t="n">
        <v>3</v>
      </c>
      <c r="H109" s="36" t="s">
        <v>274</v>
      </c>
      <c r="I109" s="36" t="s">
        <v>360</v>
      </c>
      <c r="J109" s="11" t="s">
        <v>32</v>
      </c>
    </row>
    <row r="110" customFormat="false" ht="15" hidden="false" customHeight="true" outlineLevel="0" collapsed="false">
      <c r="A110" s="11" t="s">
        <v>517</v>
      </c>
      <c r="B110" s="11" t="s">
        <v>216</v>
      </c>
      <c r="C110" s="11" t="s">
        <v>84</v>
      </c>
      <c r="D110" s="11" t="s">
        <v>31</v>
      </c>
      <c r="E110" s="11" t="s">
        <v>518</v>
      </c>
      <c r="F110" s="11" t="s">
        <v>516</v>
      </c>
      <c r="G110" s="11" t="n">
        <v>1.5</v>
      </c>
      <c r="H110" s="36" t="s">
        <v>274</v>
      </c>
      <c r="I110" s="36" t="s">
        <v>360</v>
      </c>
      <c r="J110" s="11" t="s">
        <v>32</v>
      </c>
    </row>
    <row r="111" customFormat="false" ht="15" hidden="false" customHeight="true" outlineLevel="0" collapsed="false">
      <c r="A111" s="11" t="s">
        <v>519</v>
      </c>
      <c r="B111" s="11" t="s">
        <v>216</v>
      </c>
      <c r="C111" s="11" t="s">
        <v>84</v>
      </c>
      <c r="D111" s="11" t="s">
        <v>31</v>
      </c>
      <c r="E111" s="11" t="s">
        <v>520</v>
      </c>
      <c r="F111" s="11" t="s">
        <v>521</v>
      </c>
      <c r="G111" s="11" t="n">
        <v>2</v>
      </c>
      <c r="H111" s="36" t="s">
        <v>274</v>
      </c>
      <c r="I111" s="36" t="s">
        <v>360</v>
      </c>
      <c r="J111" s="11" t="s">
        <v>32</v>
      </c>
    </row>
    <row r="112" customFormat="false" ht="15" hidden="false" customHeight="true" outlineLevel="0" collapsed="false">
      <c r="A112" s="11" t="s">
        <v>522</v>
      </c>
      <c r="B112" s="11" t="s">
        <v>195</v>
      </c>
      <c r="C112" s="11" t="s">
        <v>85</v>
      </c>
      <c r="D112" s="11" t="s">
        <v>31</v>
      </c>
      <c r="E112" s="11" t="s">
        <v>523</v>
      </c>
      <c r="F112" s="11" t="s">
        <v>291</v>
      </c>
      <c r="G112" s="11" t="n">
        <v>1.5</v>
      </c>
      <c r="H112" s="36" t="s">
        <v>292</v>
      </c>
      <c r="I112" s="36" t="s">
        <v>360</v>
      </c>
      <c r="J112" s="11" t="s">
        <v>32</v>
      </c>
    </row>
    <row r="113" customFormat="false" ht="15" hidden="false" customHeight="true" outlineLevel="0" collapsed="false">
      <c r="A113" s="11" t="s">
        <v>524</v>
      </c>
      <c r="B113" s="11" t="s">
        <v>195</v>
      </c>
      <c r="C113" s="11" t="s">
        <v>85</v>
      </c>
      <c r="D113" s="11" t="s">
        <v>31</v>
      </c>
      <c r="E113" s="11" t="s">
        <v>525</v>
      </c>
      <c r="F113" s="11" t="s">
        <v>526</v>
      </c>
      <c r="G113" s="11" t="n">
        <v>1.5</v>
      </c>
      <c r="H113" s="36" t="s">
        <v>292</v>
      </c>
      <c r="I113" s="36" t="s">
        <v>360</v>
      </c>
      <c r="J113" s="11" t="s">
        <v>32</v>
      </c>
    </row>
    <row r="114" customFormat="false" ht="15" hidden="false" customHeight="true" outlineLevel="0" collapsed="false">
      <c r="A114" s="11" t="s">
        <v>527</v>
      </c>
      <c r="B114" s="11" t="s">
        <v>195</v>
      </c>
      <c r="C114" s="11" t="s">
        <v>85</v>
      </c>
      <c r="D114" s="11" t="s">
        <v>31</v>
      </c>
      <c r="E114" s="11" t="s">
        <v>528</v>
      </c>
      <c r="F114" s="11" t="s">
        <v>291</v>
      </c>
      <c r="G114" s="11" t="n">
        <v>3</v>
      </c>
      <c r="H114" s="36" t="s">
        <v>292</v>
      </c>
      <c r="I114" s="36" t="s">
        <v>360</v>
      </c>
      <c r="J114" s="11" t="s">
        <v>32</v>
      </c>
    </row>
    <row r="115" customFormat="false" ht="15" hidden="false" customHeight="true" outlineLevel="0" collapsed="false">
      <c r="A115" s="11" t="s">
        <v>529</v>
      </c>
      <c r="B115" s="11" t="s">
        <v>195</v>
      </c>
      <c r="C115" s="11" t="s">
        <v>85</v>
      </c>
      <c r="D115" s="11" t="s">
        <v>31</v>
      </c>
      <c r="E115" s="11" t="s">
        <v>530</v>
      </c>
      <c r="F115" s="11" t="s">
        <v>291</v>
      </c>
      <c r="G115" s="11" t="n">
        <v>1.5</v>
      </c>
      <c r="H115" s="36" t="s">
        <v>292</v>
      </c>
      <c r="I115" s="36" t="s">
        <v>360</v>
      </c>
      <c r="J115" s="11" t="s">
        <v>32</v>
      </c>
    </row>
    <row r="116" customFormat="false" ht="15" hidden="false" customHeight="true" outlineLevel="0" collapsed="false">
      <c r="A116" s="11" t="s">
        <v>531</v>
      </c>
      <c r="B116" s="11" t="s">
        <v>195</v>
      </c>
      <c r="C116" s="11" t="s">
        <v>85</v>
      </c>
      <c r="D116" s="11" t="s">
        <v>31</v>
      </c>
      <c r="E116" s="11" t="s">
        <v>532</v>
      </c>
      <c r="F116" s="11" t="s">
        <v>291</v>
      </c>
      <c r="G116" s="11" t="n">
        <v>1.5</v>
      </c>
      <c r="H116" s="36" t="s">
        <v>292</v>
      </c>
      <c r="I116" s="36" t="s">
        <v>360</v>
      </c>
      <c r="J116" s="11" t="s">
        <v>32</v>
      </c>
    </row>
    <row r="117" customFormat="false" ht="15" hidden="false" customHeight="true" outlineLevel="0" collapsed="false">
      <c r="A117" s="11" t="s">
        <v>533</v>
      </c>
      <c r="B117" s="11" t="s">
        <v>235</v>
      </c>
      <c r="C117" s="11" t="s">
        <v>78</v>
      </c>
      <c r="D117" s="11" t="s">
        <v>31</v>
      </c>
      <c r="E117" s="11" t="s">
        <v>534</v>
      </c>
      <c r="F117" s="11" t="s">
        <v>261</v>
      </c>
      <c r="G117" s="11" t="n">
        <v>2</v>
      </c>
      <c r="H117" s="36" t="s">
        <v>267</v>
      </c>
      <c r="I117" s="36" t="s">
        <v>360</v>
      </c>
      <c r="J117" s="11" t="s">
        <v>32</v>
      </c>
    </row>
    <row r="118" customFormat="false" ht="23.25" hidden="false" customHeight="true" outlineLevel="0" collapsed="false">
      <c r="A118" s="11" t="s">
        <v>535</v>
      </c>
      <c r="B118" s="11" t="s">
        <v>201</v>
      </c>
      <c r="C118" s="11" t="s">
        <v>83</v>
      </c>
      <c r="D118" s="11" t="s">
        <v>34</v>
      </c>
      <c r="E118" s="11" t="s">
        <v>536</v>
      </c>
      <c r="F118" s="11" t="s">
        <v>286</v>
      </c>
      <c r="G118" s="11" t="n">
        <v>2</v>
      </c>
      <c r="H118" s="36" t="s">
        <v>292</v>
      </c>
      <c r="I118" s="36" t="s">
        <v>360</v>
      </c>
      <c r="J118" s="11" t="s">
        <v>36</v>
      </c>
    </row>
    <row r="119" customFormat="false" ht="23.25" hidden="false" customHeight="true" outlineLevel="0" collapsed="false">
      <c r="A119" s="11" t="s">
        <v>537</v>
      </c>
      <c r="B119" s="11" t="s">
        <v>201</v>
      </c>
      <c r="C119" s="11" t="s">
        <v>83</v>
      </c>
      <c r="D119" s="11" t="s">
        <v>34</v>
      </c>
      <c r="E119" s="11" t="s">
        <v>538</v>
      </c>
      <c r="F119" s="11" t="s">
        <v>480</v>
      </c>
      <c r="G119" s="11" t="n">
        <v>2.5</v>
      </c>
      <c r="H119" s="36" t="s">
        <v>292</v>
      </c>
      <c r="I119" s="36" t="s">
        <v>360</v>
      </c>
      <c r="J119" s="11" t="s">
        <v>36</v>
      </c>
    </row>
    <row r="120" customFormat="false" ht="23.25" hidden="false" customHeight="true" outlineLevel="0" collapsed="false">
      <c r="A120" s="11" t="s">
        <v>539</v>
      </c>
      <c r="B120" s="11" t="s">
        <v>201</v>
      </c>
      <c r="C120" s="11" t="s">
        <v>83</v>
      </c>
      <c r="D120" s="11" t="s">
        <v>34</v>
      </c>
      <c r="E120" s="11" t="s">
        <v>540</v>
      </c>
      <c r="F120" s="11" t="s">
        <v>286</v>
      </c>
      <c r="G120" s="11" t="n">
        <v>2</v>
      </c>
      <c r="H120" s="36" t="s">
        <v>292</v>
      </c>
      <c r="I120" s="36" t="s">
        <v>360</v>
      </c>
      <c r="J120" s="11" t="s">
        <v>36</v>
      </c>
    </row>
    <row r="121" customFormat="false" ht="23.25" hidden="false" customHeight="true" outlineLevel="0" collapsed="false">
      <c r="A121" s="11" t="s">
        <v>541</v>
      </c>
      <c r="B121" s="11" t="s">
        <v>201</v>
      </c>
      <c r="C121" s="11" t="s">
        <v>83</v>
      </c>
      <c r="D121" s="11" t="s">
        <v>34</v>
      </c>
      <c r="E121" s="11" t="s">
        <v>542</v>
      </c>
      <c r="F121" s="11" t="s">
        <v>329</v>
      </c>
      <c r="G121" s="11" t="n">
        <v>1.5</v>
      </c>
      <c r="H121" s="36" t="s">
        <v>292</v>
      </c>
      <c r="I121" s="36" t="s">
        <v>360</v>
      </c>
      <c r="J121" s="11" t="s">
        <v>36</v>
      </c>
    </row>
    <row r="122" customFormat="false" ht="15" hidden="false" customHeight="true" outlineLevel="0" collapsed="false">
      <c r="A122" s="11" t="s">
        <v>543</v>
      </c>
      <c r="B122" s="11" t="s">
        <v>204</v>
      </c>
      <c r="C122" s="11" t="s">
        <v>84</v>
      </c>
      <c r="D122" s="11" t="s">
        <v>34</v>
      </c>
      <c r="E122" s="11" t="s">
        <v>544</v>
      </c>
      <c r="F122" s="11" t="s">
        <v>261</v>
      </c>
      <c r="G122" s="11" t="n">
        <v>1</v>
      </c>
      <c r="H122" s="36" t="s">
        <v>323</v>
      </c>
      <c r="I122" s="36" t="s">
        <v>360</v>
      </c>
      <c r="J122" s="11" t="s">
        <v>36</v>
      </c>
    </row>
    <row r="123" customFormat="false" ht="15" hidden="false" customHeight="true" outlineLevel="0" collapsed="false">
      <c r="A123" s="11" t="s">
        <v>545</v>
      </c>
      <c r="B123" s="11" t="s">
        <v>204</v>
      </c>
      <c r="C123" s="11" t="s">
        <v>84</v>
      </c>
      <c r="D123" s="11" t="s">
        <v>34</v>
      </c>
      <c r="E123" s="11" t="s">
        <v>546</v>
      </c>
      <c r="F123" s="11" t="s">
        <v>516</v>
      </c>
      <c r="G123" s="11" t="n">
        <v>1</v>
      </c>
      <c r="H123" s="36" t="s">
        <v>323</v>
      </c>
      <c r="I123" s="36" t="s">
        <v>360</v>
      </c>
      <c r="J123" s="11" t="s">
        <v>36</v>
      </c>
    </row>
    <row r="124" customFormat="false" ht="15" hidden="false" customHeight="true" outlineLevel="0" collapsed="false">
      <c r="A124" s="11" t="s">
        <v>547</v>
      </c>
      <c r="B124" s="11" t="s">
        <v>204</v>
      </c>
      <c r="C124" s="11" t="s">
        <v>84</v>
      </c>
      <c r="D124" s="11" t="s">
        <v>34</v>
      </c>
      <c r="E124" s="11" t="s">
        <v>548</v>
      </c>
      <c r="F124" s="11" t="s">
        <v>392</v>
      </c>
      <c r="G124" s="11" t="n">
        <v>1</v>
      </c>
      <c r="H124" s="36" t="s">
        <v>323</v>
      </c>
      <c r="I124" s="36" t="s">
        <v>360</v>
      </c>
      <c r="J124" s="11" t="s">
        <v>36</v>
      </c>
    </row>
    <row r="125" customFormat="false" ht="15" hidden="false" customHeight="true" outlineLevel="0" collapsed="false">
      <c r="A125" s="11" t="s">
        <v>549</v>
      </c>
      <c r="B125" s="11" t="s">
        <v>204</v>
      </c>
      <c r="C125" s="11" t="s">
        <v>84</v>
      </c>
      <c r="D125" s="11" t="s">
        <v>34</v>
      </c>
      <c r="E125" s="11" t="s">
        <v>550</v>
      </c>
      <c r="F125" s="11" t="s">
        <v>480</v>
      </c>
      <c r="G125" s="11" t="n">
        <v>3</v>
      </c>
      <c r="H125" s="36" t="s">
        <v>323</v>
      </c>
      <c r="I125" s="36" t="s">
        <v>360</v>
      </c>
      <c r="J125" s="11" t="s">
        <v>36</v>
      </c>
    </row>
    <row r="126" customFormat="false" ht="15" hidden="false" customHeight="true" outlineLevel="0" collapsed="false">
      <c r="A126" s="11" t="s">
        <v>551</v>
      </c>
      <c r="B126" s="11" t="s">
        <v>204</v>
      </c>
      <c r="C126" s="11" t="s">
        <v>84</v>
      </c>
      <c r="D126" s="11" t="s">
        <v>34</v>
      </c>
      <c r="E126" s="11" t="s">
        <v>552</v>
      </c>
      <c r="F126" s="11" t="s">
        <v>516</v>
      </c>
      <c r="G126" s="11" t="n">
        <v>3</v>
      </c>
      <c r="H126" s="36" t="s">
        <v>323</v>
      </c>
      <c r="I126" s="36" t="s">
        <v>360</v>
      </c>
      <c r="J126" s="11" t="s">
        <v>36</v>
      </c>
    </row>
    <row r="127" customFormat="false" ht="15" hidden="false" customHeight="true" outlineLevel="0" collapsed="false">
      <c r="A127" s="11" t="s">
        <v>553</v>
      </c>
      <c r="B127" s="11" t="s">
        <v>204</v>
      </c>
      <c r="C127" s="11" t="s">
        <v>84</v>
      </c>
      <c r="D127" s="11" t="s">
        <v>34</v>
      </c>
      <c r="E127" s="11" t="s">
        <v>554</v>
      </c>
      <c r="F127" s="11" t="s">
        <v>516</v>
      </c>
      <c r="G127" s="11" t="n">
        <v>1.5</v>
      </c>
      <c r="H127" s="36" t="s">
        <v>323</v>
      </c>
      <c r="I127" s="36" t="s">
        <v>360</v>
      </c>
      <c r="J127" s="11" t="s">
        <v>36</v>
      </c>
    </row>
    <row r="128" customFormat="false" ht="15" hidden="false" customHeight="true" outlineLevel="0" collapsed="false">
      <c r="A128" s="11" t="s">
        <v>555</v>
      </c>
      <c r="B128" s="11" t="s">
        <v>204</v>
      </c>
      <c r="C128" s="11" t="s">
        <v>84</v>
      </c>
      <c r="D128" s="11" t="s">
        <v>34</v>
      </c>
      <c r="E128" s="11" t="s">
        <v>556</v>
      </c>
      <c r="F128" s="11" t="s">
        <v>392</v>
      </c>
      <c r="G128" s="11" t="n">
        <v>1.5</v>
      </c>
      <c r="H128" s="36" t="s">
        <v>323</v>
      </c>
      <c r="I128" s="36" t="s">
        <v>360</v>
      </c>
      <c r="J128" s="11" t="s">
        <v>36</v>
      </c>
    </row>
    <row r="129" customFormat="false" ht="15" hidden="false" customHeight="true" outlineLevel="0" collapsed="false">
      <c r="A129" s="11" t="s">
        <v>557</v>
      </c>
      <c r="B129" s="11" t="s">
        <v>204</v>
      </c>
      <c r="C129" s="11" t="s">
        <v>84</v>
      </c>
      <c r="D129" s="11" t="s">
        <v>34</v>
      </c>
      <c r="E129" s="11" t="s">
        <v>558</v>
      </c>
      <c r="F129" s="11" t="s">
        <v>286</v>
      </c>
      <c r="G129" s="11" t="n">
        <v>0.5</v>
      </c>
      <c r="H129" s="36" t="s">
        <v>323</v>
      </c>
      <c r="I129" s="36" t="s">
        <v>360</v>
      </c>
      <c r="J129" s="11" t="s">
        <v>36</v>
      </c>
    </row>
    <row r="130" customFormat="false" ht="23.25" hidden="false" customHeight="true" outlineLevel="0" collapsed="false">
      <c r="A130" s="11" t="s">
        <v>559</v>
      </c>
      <c r="B130" s="11" t="s">
        <v>220</v>
      </c>
      <c r="C130" s="11" t="s">
        <v>84</v>
      </c>
      <c r="D130" s="11" t="s">
        <v>34</v>
      </c>
      <c r="E130" s="11" t="s">
        <v>560</v>
      </c>
      <c r="F130" s="11" t="s">
        <v>286</v>
      </c>
      <c r="G130" s="11" t="n">
        <v>2</v>
      </c>
      <c r="H130" s="36" t="s">
        <v>292</v>
      </c>
      <c r="I130" s="36" t="s">
        <v>360</v>
      </c>
      <c r="J130" s="11" t="s">
        <v>36</v>
      </c>
    </row>
    <row r="131" customFormat="false" ht="23.25" hidden="false" customHeight="true" outlineLevel="0" collapsed="false">
      <c r="A131" s="11" t="s">
        <v>561</v>
      </c>
      <c r="B131" s="11" t="s">
        <v>220</v>
      </c>
      <c r="C131" s="11" t="s">
        <v>84</v>
      </c>
      <c r="D131" s="11" t="s">
        <v>34</v>
      </c>
      <c r="E131" s="11" t="s">
        <v>562</v>
      </c>
      <c r="F131" s="11" t="s">
        <v>563</v>
      </c>
      <c r="G131" s="11" t="n">
        <v>3</v>
      </c>
      <c r="H131" s="36" t="s">
        <v>292</v>
      </c>
      <c r="I131" s="36" t="s">
        <v>360</v>
      </c>
      <c r="J131" s="11" t="s">
        <v>36</v>
      </c>
    </row>
    <row r="132" customFormat="false" ht="23.25" hidden="false" customHeight="true" outlineLevel="0" collapsed="false">
      <c r="A132" s="11" t="s">
        <v>564</v>
      </c>
      <c r="B132" s="11" t="s">
        <v>220</v>
      </c>
      <c r="C132" s="11" t="s">
        <v>84</v>
      </c>
      <c r="D132" s="11" t="s">
        <v>34</v>
      </c>
      <c r="E132" s="11" t="s">
        <v>565</v>
      </c>
      <c r="F132" s="11" t="s">
        <v>286</v>
      </c>
      <c r="G132" s="11" t="n">
        <v>2.5</v>
      </c>
      <c r="H132" s="36" t="s">
        <v>292</v>
      </c>
      <c r="I132" s="36" t="s">
        <v>360</v>
      </c>
      <c r="J132" s="11" t="s">
        <v>36</v>
      </c>
    </row>
    <row r="133" customFormat="false" ht="15" hidden="false" customHeight="true" outlineLevel="0" collapsed="false">
      <c r="A133" s="11" t="s">
        <v>566</v>
      </c>
      <c r="B133" s="11" t="s">
        <v>220</v>
      </c>
      <c r="C133" s="11" t="s">
        <v>84</v>
      </c>
      <c r="D133" s="11" t="s">
        <v>34</v>
      </c>
      <c r="E133" s="11" t="s">
        <v>567</v>
      </c>
      <c r="F133" s="11" t="s">
        <v>516</v>
      </c>
      <c r="G133" s="11" t="n">
        <v>1.5</v>
      </c>
      <c r="H133" s="36" t="s">
        <v>292</v>
      </c>
      <c r="I133" s="36" t="s">
        <v>360</v>
      </c>
      <c r="J133" s="11" t="s">
        <v>36</v>
      </c>
    </row>
    <row r="134" customFormat="false" ht="15" hidden="false" customHeight="true" outlineLevel="0" collapsed="false">
      <c r="A134" s="11" t="s">
        <v>568</v>
      </c>
      <c r="B134" s="11" t="s">
        <v>223</v>
      </c>
      <c r="C134" s="11" t="s">
        <v>87</v>
      </c>
      <c r="D134" s="11" t="s">
        <v>34</v>
      </c>
      <c r="E134" s="11" t="s">
        <v>569</v>
      </c>
      <c r="F134" s="11" t="s">
        <v>261</v>
      </c>
      <c r="G134" s="11" t="n">
        <v>1</v>
      </c>
      <c r="H134" s="36" t="s">
        <v>274</v>
      </c>
      <c r="I134" s="36" t="s">
        <v>360</v>
      </c>
      <c r="J134" s="11" t="s">
        <v>36</v>
      </c>
    </row>
    <row r="135" customFormat="false" ht="23.25" hidden="false" customHeight="true" outlineLevel="0" collapsed="false">
      <c r="A135" s="11" t="s">
        <v>570</v>
      </c>
      <c r="B135" s="11" t="s">
        <v>223</v>
      </c>
      <c r="C135" s="11" t="s">
        <v>87</v>
      </c>
      <c r="D135" s="11" t="s">
        <v>34</v>
      </c>
      <c r="E135" s="11" t="s">
        <v>571</v>
      </c>
      <c r="F135" s="11" t="s">
        <v>286</v>
      </c>
      <c r="G135" s="11" t="n">
        <v>2.5</v>
      </c>
      <c r="H135" s="36" t="s">
        <v>274</v>
      </c>
      <c r="I135" s="36" t="s">
        <v>360</v>
      </c>
      <c r="J135" s="11" t="s">
        <v>36</v>
      </c>
    </row>
    <row r="136" customFormat="false" ht="23.25" hidden="false" customHeight="true" outlineLevel="0" collapsed="false">
      <c r="A136" s="11" t="s">
        <v>572</v>
      </c>
      <c r="B136" s="11" t="s">
        <v>223</v>
      </c>
      <c r="C136" s="11" t="s">
        <v>87</v>
      </c>
      <c r="D136" s="11" t="s">
        <v>34</v>
      </c>
      <c r="E136" s="11" t="s">
        <v>573</v>
      </c>
      <c r="F136" s="11" t="s">
        <v>286</v>
      </c>
      <c r="G136" s="11" t="n">
        <v>1.5</v>
      </c>
      <c r="H136" s="36" t="s">
        <v>274</v>
      </c>
      <c r="I136" s="36" t="s">
        <v>360</v>
      </c>
      <c r="J136" s="11" t="s">
        <v>36</v>
      </c>
    </row>
    <row r="137" customFormat="false" ht="15" hidden="false" customHeight="true" outlineLevel="0" collapsed="false">
      <c r="A137" s="11" t="s">
        <v>574</v>
      </c>
      <c r="B137" s="11" t="s">
        <v>223</v>
      </c>
      <c r="C137" s="11" t="s">
        <v>87</v>
      </c>
      <c r="D137" s="11" t="s">
        <v>34</v>
      </c>
      <c r="E137" s="11" t="s">
        <v>575</v>
      </c>
      <c r="F137" s="11" t="s">
        <v>286</v>
      </c>
      <c r="G137" s="11" t="n">
        <v>0.5</v>
      </c>
      <c r="H137" s="36" t="s">
        <v>274</v>
      </c>
      <c r="I137" s="36" t="s">
        <v>360</v>
      </c>
      <c r="J137" s="11" t="s">
        <v>36</v>
      </c>
    </row>
    <row r="138" customFormat="false" ht="15" hidden="false" customHeight="true" outlineLevel="0" collapsed="false">
      <c r="A138" s="11" t="s">
        <v>576</v>
      </c>
      <c r="B138" s="11" t="s">
        <v>223</v>
      </c>
      <c r="C138" s="11" t="s">
        <v>87</v>
      </c>
      <c r="D138" s="11" t="s">
        <v>34</v>
      </c>
      <c r="E138" s="11" t="s">
        <v>577</v>
      </c>
      <c r="F138" s="11" t="s">
        <v>578</v>
      </c>
      <c r="G138" s="11" t="n">
        <v>2</v>
      </c>
      <c r="H138" s="36" t="s">
        <v>330</v>
      </c>
      <c r="I138" s="36" t="s">
        <v>360</v>
      </c>
      <c r="J138" s="11" t="s">
        <v>36</v>
      </c>
    </row>
    <row r="139" customFormat="false" ht="23.25" hidden="false" customHeight="true" outlineLevel="0" collapsed="false">
      <c r="A139" s="11" t="s">
        <v>579</v>
      </c>
      <c r="B139" s="11" t="s">
        <v>226</v>
      </c>
      <c r="C139" s="11" t="s">
        <v>87</v>
      </c>
      <c r="D139" s="11" t="s">
        <v>34</v>
      </c>
      <c r="E139" s="11" t="s">
        <v>580</v>
      </c>
      <c r="F139" s="11" t="s">
        <v>581</v>
      </c>
      <c r="G139" s="11" t="n">
        <v>1.5</v>
      </c>
      <c r="H139" s="36" t="s">
        <v>274</v>
      </c>
      <c r="I139" s="36" t="s">
        <v>360</v>
      </c>
      <c r="J139" s="11" t="s">
        <v>36</v>
      </c>
    </row>
    <row r="140" customFormat="false" ht="23.25" hidden="false" customHeight="true" outlineLevel="0" collapsed="false">
      <c r="A140" s="11" t="s">
        <v>582</v>
      </c>
      <c r="B140" s="11" t="s">
        <v>226</v>
      </c>
      <c r="C140" s="11" t="s">
        <v>87</v>
      </c>
      <c r="D140" s="11" t="s">
        <v>34</v>
      </c>
      <c r="E140" s="11" t="s">
        <v>583</v>
      </c>
      <c r="F140" s="11" t="s">
        <v>584</v>
      </c>
      <c r="G140" s="11" t="n">
        <v>3</v>
      </c>
      <c r="H140" s="36" t="s">
        <v>274</v>
      </c>
      <c r="I140" s="36" t="s">
        <v>360</v>
      </c>
      <c r="J140" s="11" t="s">
        <v>36</v>
      </c>
    </row>
    <row r="141" customFormat="false" ht="15" hidden="false" customHeight="true" outlineLevel="0" collapsed="false">
      <c r="A141" s="11" t="s">
        <v>585</v>
      </c>
      <c r="B141" s="11" t="s">
        <v>226</v>
      </c>
      <c r="C141" s="11" t="s">
        <v>87</v>
      </c>
      <c r="D141" s="11" t="s">
        <v>34</v>
      </c>
      <c r="E141" s="11" t="s">
        <v>586</v>
      </c>
      <c r="F141" s="11" t="s">
        <v>587</v>
      </c>
      <c r="G141" s="11" t="n">
        <v>2</v>
      </c>
      <c r="H141" s="36" t="s">
        <v>323</v>
      </c>
      <c r="I141" s="36" t="s">
        <v>360</v>
      </c>
      <c r="J141" s="11" t="s">
        <v>36</v>
      </c>
    </row>
    <row r="142" customFormat="false" ht="15" hidden="false" customHeight="true" outlineLevel="0" collapsed="false">
      <c r="A142" s="11" t="s">
        <v>588</v>
      </c>
      <c r="B142" s="11" t="s">
        <v>226</v>
      </c>
      <c r="C142" s="11" t="s">
        <v>87</v>
      </c>
      <c r="D142" s="11" t="s">
        <v>34</v>
      </c>
      <c r="E142" s="11" t="s">
        <v>589</v>
      </c>
      <c r="F142" s="11" t="s">
        <v>286</v>
      </c>
      <c r="G142" s="11" t="n">
        <v>1.5</v>
      </c>
      <c r="H142" s="36" t="s">
        <v>274</v>
      </c>
      <c r="I142" s="36" t="s">
        <v>360</v>
      </c>
      <c r="J142" s="11" t="s">
        <v>36</v>
      </c>
    </row>
    <row r="143" customFormat="false" ht="23.25" hidden="false" customHeight="true" outlineLevel="0" collapsed="false">
      <c r="A143" s="11" t="s">
        <v>590</v>
      </c>
      <c r="B143" s="11" t="s">
        <v>226</v>
      </c>
      <c r="C143" s="11" t="s">
        <v>87</v>
      </c>
      <c r="D143" s="11" t="s">
        <v>34</v>
      </c>
      <c r="E143" s="11" t="s">
        <v>591</v>
      </c>
      <c r="F143" s="11" t="s">
        <v>435</v>
      </c>
      <c r="G143" s="11" t="n">
        <v>1.5</v>
      </c>
      <c r="H143" s="36" t="s">
        <v>274</v>
      </c>
      <c r="I143" s="36" t="s">
        <v>360</v>
      </c>
      <c r="J143" s="11" t="s">
        <v>36</v>
      </c>
    </row>
    <row r="144" customFormat="false" ht="15" hidden="false" customHeight="true" outlineLevel="0" collapsed="false">
      <c r="A144" s="11" t="s">
        <v>592</v>
      </c>
      <c r="B144" s="11" t="s">
        <v>226</v>
      </c>
      <c r="C144" s="11" t="s">
        <v>87</v>
      </c>
      <c r="D144" s="11" t="s">
        <v>34</v>
      </c>
      <c r="E144" s="11" t="s">
        <v>593</v>
      </c>
      <c r="F144" s="11" t="s">
        <v>286</v>
      </c>
      <c r="G144" s="11" t="n">
        <v>0.5</v>
      </c>
      <c r="H144" s="36" t="s">
        <v>274</v>
      </c>
      <c r="I144" s="36" t="s">
        <v>360</v>
      </c>
      <c r="J144" s="11" t="s">
        <v>36</v>
      </c>
    </row>
    <row r="145" customFormat="false" ht="23.25" hidden="false" customHeight="true" outlineLevel="0" collapsed="false">
      <c r="A145" s="11" t="s">
        <v>594</v>
      </c>
      <c r="B145" s="11" t="s">
        <v>207</v>
      </c>
      <c r="C145" s="11" t="s">
        <v>85</v>
      </c>
      <c r="D145" s="11" t="s">
        <v>34</v>
      </c>
      <c r="E145" s="11" t="s">
        <v>595</v>
      </c>
      <c r="F145" s="11" t="s">
        <v>596</v>
      </c>
      <c r="G145" s="11" t="n">
        <v>1.5</v>
      </c>
      <c r="H145" s="36" t="s">
        <v>330</v>
      </c>
      <c r="I145" s="36" t="s">
        <v>360</v>
      </c>
      <c r="J145" s="11" t="s">
        <v>36</v>
      </c>
    </row>
    <row r="146" customFormat="false" ht="23.25" hidden="false" customHeight="true" outlineLevel="0" collapsed="false">
      <c r="A146" s="11" t="s">
        <v>597</v>
      </c>
      <c r="B146" s="11" t="s">
        <v>207</v>
      </c>
      <c r="C146" s="11" t="s">
        <v>85</v>
      </c>
      <c r="D146" s="11" t="s">
        <v>34</v>
      </c>
      <c r="E146" s="11" t="s">
        <v>598</v>
      </c>
      <c r="F146" s="11" t="s">
        <v>578</v>
      </c>
      <c r="G146" s="11" t="n">
        <v>3</v>
      </c>
      <c r="H146" s="36" t="s">
        <v>330</v>
      </c>
      <c r="I146" s="36" t="s">
        <v>360</v>
      </c>
      <c r="J146" s="11" t="s">
        <v>36</v>
      </c>
    </row>
    <row r="147" customFormat="false" ht="15" hidden="false" customHeight="true" outlineLevel="0" collapsed="false">
      <c r="A147" s="11" t="s">
        <v>599</v>
      </c>
      <c r="B147" s="11" t="s">
        <v>207</v>
      </c>
      <c r="C147" s="11" t="s">
        <v>85</v>
      </c>
      <c r="D147" s="11" t="s">
        <v>34</v>
      </c>
      <c r="E147" s="11" t="s">
        <v>600</v>
      </c>
      <c r="F147" s="11" t="s">
        <v>596</v>
      </c>
      <c r="G147" s="11" t="n">
        <v>2.5</v>
      </c>
      <c r="H147" s="36" t="s">
        <v>330</v>
      </c>
      <c r="I147" s="36" t="s">
        <v>360</v>
      </c>
      <c r="J147" s="11" t="s">
        <v>36</v>
      </c>
    </row>
    <row r="148" customFormat="false" ht="15" hidden="false" customHeight="true" outlineLevel="0" collapsed="false">
      <c r="A148" s="11" t="s">
        <v>601</v>
      </c>
      <c r="B148" s="11" t="s">
        <v>207</v>
      </c>
      <c r="C148" s="11" t="s">
        <v>85</v>
      </c>
      <c r="D148" s="11" t="s">
        <v>34</v>
      </c>
      <c r="E148" s="11" t="s">
        <v>602</v>
      </c>
      <c r="F148" s="11" t="s">
        <v>596</v>
      </c>
      <c r="G148" s="11" t="n">
        <v>3</v>
      </c>
      <c r="H148" s="36" t="s">
        <v>330</v>
      </c>
      <c r="I148" s="36" t="s">
        <v>360</v>
      </c>
      <c r="J148" s="11" t="s">
        <v>36</v>
      </c>
    </row>
    <row r="149" customFormat="false" ht="15" hidden="false" customHeight="true" outlineLevel="0" collapsed="false">
      <c r="A149" s="11" t="s">
        <v>603</v>
      </c>
      <c r="B149" s="11" t="s">
        <v>207</v>
      </c>
      <c r="C149" s="11" t="s">
        <v>85</v>
      </c>
      <c r="D149" s="11" t="s">
        <v>34</v>
      </c>
      <c r="E149" s="11" t="s">
        <v>604</v>
      </c>
      <c r="F149" s="11" t="s">
        <v>596</v>
      </c>
      <c r="G149" s="11" t="n">
        <v>1.5</v>
      </c>
      <c r="H149" s="36" t="s">
        <v>330</v>
      </c>
      <c r="I149" s="36" t="s">
        <v>360</v>
      </c>
      <c r="J149" s="11" t="s">
        <v>36</v>
      </c>
    </row>
    <row r="150" customFormat="false" ht="15" hidden="false" customHeight="true" outlineLevel="0" collapsed="false">
      <c r="A150" s="11" t="s">
        <v>605</v>
      </c>
      <c r="B150" s="11" t="s">
        <v>207</v>
      </c>
      <c r="C150" s="11" t="s">
        <v>85</v>
      </c>
      <c r="D150" s="11" t="s">
        <v>34</v>
      </c>
      <c r="E150" s="11" t="s">
        <v>606</v>
      </c>
      <c r="F150" s="11" t="s">
        <v>607</v>
      </c>
      <c r="G150" s="11" t="n">
        <v>1.5</v>
      </c>
      <c r="H150" s="36" t="s">
        <v>330</v>
      </c>
      <c r="I150" s="36" t="s">
        <v>360</v>
      </c>
      <c r="J150" s="11" t="s">
        <v>36</v>
      </c>
    </row>
    <row r="151" customFormat="false" ht="15" hidden="false" customHeight="true" outlineLevel="0" collapsed="false">
      <c r="A151" s="11" t="s">
        <v>608</v>
      </c>
      <c r="B151" s="11" t="s">
        <v>210</v>
      </c>
      <c r="C151" s="11" t="s">
        <v>86</v>
      </c>
      <c r="D151" s="11" t="s">
        <v>34</v>
      </c>
      <c r="E151" s="11" t="s">
        <v>609</v>
      </c>
      <c r="F151" s="11" t="s">
        <v>329</v>
      </c>
      <c r="G151" s="11" t="n">
        <v>5</v>
      </c>
      <c r="H151" s="36" t="s">
        <v>300</v>
      </c>
      <c r="I151" s="36" t="s">
        <v>360</v>
      </c>
      <c r="J151" s="11" t="s">
        <v>36</v>
      </c>
    </row>
    <row r="152" customFormat="false" ht="15" hidden="false" customHeight="true" outlineLevel="0" collapsed="false">
      <c r="A152" s="11" t="s">
        <v>610</v>
      </c>
      <c r="B152" s="11" t="s">
        <v>210</v>
      </c>
      <c r="C152" s="11" t="s">
        <v>86</v>
      </c>
      <c r="D152" s="11" t="s">
        <v>34</v>
      </c>
      <c r="E152" s="11" t="s">
        <v>611</v>
      </c>
      <c r="F152" s="11" t="s">
        <v>612</v>
      </c>
      <c r="G152" s="11" t="n">
        <v>1.5</v>
      </c>
      <c r="H152" s="36" t="s">
        <v>300</v>
      </c>
      <c r="I152" s="36" t="s">
        <v>360</v>
      </c>
      <c r="J152" s="11" t="s">
        <v>36</v>
      </c>
    </row>
    <row r="153" customFormat="false" ht="15" hidden="false" customHeight="true" outlineLevel="0" collapsed="false">
      <c r="A153" s="11" t="s">
        <v>613</v>
      </c>
      <c r="B153" s="11" t="s">
        <v>210</v>
      </c>
      <c r="C153" s="11" t="s">
        <v>86</v>
      </c>
      <c r="D153" s="11" t="s">
        <v>34</v>
      </c>
      <c r="E153" s="11" t="s">
        <v>614</v>
      </c>
      <c r="F153" s="11" t="s">
        <v>351</v>
      </c>
      <c r="G153" s="11" t="n">
        <v>4</v>
      </c>
      <c r="H153" s="36" t="s">
        <v>267</v>
      </c>
      <c r="I153" s="36" t="s">
        <v>360</v>
      </c>
      <c r="J153" s="11" t="s">
        <v>36</v>
      </c>
    </row>
    <row r="154" customFormat="false" ht="15" hidden="false" customHeight="true" outlineLevel="0" collapsed="false">
      <c r="A154" s="11" t="s">
        <v>615</v>
      </c>
      <c r="B154" s="11" t="s">
        <v>210</v>
      </c>
      <c r="C154" s="11" t="s">
        <v>86</v>
      </c>
      <c r="D154" s="11" t="s">
        <v>34</v>
      </c>
      <c r="E154" s="11" t="s">
        <v>616</v>
      </c>
      <c r="F154" s="11" t="s">
        <v>617</v>
      </c>
      <c r="G154" s="11" t="n">
        <v>1</v>
      </c>
      <c r="H154" s="36" t="s">
        <v>267</v>
      </c>
      <c r="I154" s="36" t="s">
        <v>360</v>
      </c>
      <c r="J154" s="11" t="s">
        <v>36</v>
      </c>
    </row>
    <row r="155" customFormat="false" ht="15" hidden="false" customHeight="true" outlineLevel="0" collapsed="false">
      <c r="A155" s="11" t="s">
        <v>618</v>
      </c>
      <c r="B155" s="11" t="s">
        <v>210</v>
      </c>
      <c r="C155" s="11" t="s">
        <v>86</v>
      </c>
      <c r="D155" s="11" t="s">
        <v>34</v>
      </c>
      <c r="E155" s="11" t="s">
        <v>359</v>
      </c>
      <c r="F155" s="11" t="s">
        <v>261</v>
      </c>
      <c r="G155" s="11" t="n">
        <v>2</v>
      </c>
      <c r="H155" s="36" t="s">
        <v>267</v>
      </c>
      <c r="I155" s="36" t="s">
        <v>360</v>
      </c>
      <c r="J155" s="11" t="s">
        <v>36</v>
      </c>
    </row>
    <row r="156" customFormat="false" ht="15" hidden="false" customHeight="true" outlineLevel="0" collapsed="false">
      <c r="A156" s="11" t="s">
        <v>619</v>
      </c>
      <c r="B156" s="11" t="s">
        <v>235</v>
      </c>
      <c r="C156" s="11" t="s">
        <v>78</v>
      </c>
      <c r="D156" s="11" t="s">
        <v>34</v>
      </c>
      <c r="E156" s="11" t="s">
        <v>620</v>
      </c>
      <c r="F156" s="11" t="s">
        <v>261</v>
      </c>
      <c r="G156" s="11" t="n">
        <v>2</v>
      </c>
      <c r="H156" s="36" t="s">
        <v>267</v>
      </c>
      <c r="I156" s="36" t="s">
        <v>360</v>
      </c>
      <c r="J156" s="11" t="s">
        <v>36</v>
      </c>
    </row>
    <row r="157" customFormat="false" ht="15" hidden="false" customHeight="true" outlineLevel="0" collapsed="false">
      <c r="A157" s="14" t="s">
        <v>621</v>
      </c>
      <c r="B157" s="14" t="s">
        <v>213</v>
      </c>
      <c r="C157" s="14" t="s">
        <v>86</v>
      </c>
      <c r="D157" s="14" t="s">
        <v>40</v>
      </c>
      <c r="E157" s="14" t="s">
        <v>622</v>
      </c>
      <c r="F157" s="14" t="s">
        <v>329</v>
      </c>
      <c r="G157" s="14" t="n">
        <v>1.5</v>
      </c>
      <c r="H157" s="36" t="s">
        <v>274</v>
      </c>
      <c r="I157" s="36" t="s">
        <v>360</v>
      </c>
      <c r="J157" s="14" t="s">
        <v>41</v>
      </c>
    </row>
    <row r="158" customFormat="false" ht="23.25" hidden="false" customHeight="true" outlineLevel="0" collapsed="false">
      <c r="A158" s="14" t="s">
        <v>623</v>
      </c>
      <c r="B158" s="14" t="s">
        <v>229</v>
      </c>
      <c r="C158" s="14" t="s">
        <v>87</v>
      </c>
      <c r="D158" s="14" t="s">
        <v>40</v>
      </c>
      <c r="E158" s="14" t="s">
        <v>624</v>
      </c>
      <c r="F158" s="14" t="s">
        <v>286</v>
      </c>
      <c r="G158" s="14" t="n">
        <v>2</v>
      </c>
      <c r="H158" s="36" t="s">
        <v>274</v>
      </c>
      <c r="I158" s="36" t="s">
        <v>360</v>
      </c>
      <c r="J158" s="14" t="s">
        <v>41</v>
      </c>
    </row>
    <row r="159" customFormat="false" ht="23.25" hidden="false" customHeight="true" outlineLevel="0" collapsed="false">
      <c r="A159" s="14" t="s">
        <v>625</v>
      </c>
      <c r="B159" s="14" t="s">
        <v>229</v>
      </c>
      <c r="C159" s="14" t="s">
        <v>87</v>
      </c>
      <c r="D159" s="14" t="s">
        <v>40</v>
      </c>
      <c r="E159" s="14" t="s">
        <v>626</v>
      </c>
      <c r="F159" s="14" t="s">
        <v>627</v>
      </c>
      <c r="G159" s="14" t="n">
        <v>2</v>
      </c>
      <c r="H159" s="36" t="s">
        <v>292</v>
      </c>
      <c r="I159" s="36" t="s">
        <v>360</v>
      </c>
      <c r="J159" s="14" t="s">
        <v>41</v>
      </c>
    </row>
    <row r="160" customFormat="false" ht="15" hidden="false" customHeight="true" outlineLevel="0" collapsed="false">
      <c r="A160" s="14" t="s">
        <v>628</v>
      </c>
      <c r="B160" s="14" t="s">
        <v>229</v>
      </c>
      <c r="C160" s="14" t="s">
        <v>87</v>
      </c>
      <c r="D160" s="14" t="s">
        <v>40</v>
      </c>
      <c r="E160" s="14" t="s">
        <v>629</v>
      </c>
      <c r="F160" s="14" t="s">
        <v>516</v>
      </c>
      <c r="G160" s="14" t="n">
        <v>1.5</v>
      </c>
      <c r="H160" s="36" t="s">
        <v>323</v>
      </c>
      <c r="I160" s="36" t="s">
        <v>360</v>
      </c>
      <c r="J160" s="14" t="s">
        <v>41</v>
      </c>
    </row>
    <row r="161" customFormat="false" ht="15" hidden="false" customHeight="true" outlineLevel="0" collapsed="false">
      <c r="A161" s="14" t="s">
        <v>630</v>
      </c>
      <c r="B161" s="14" t="s">
        <v>229</v>
      </c>
      <c r="C161" s="14" t="s">
        <v>87</v>
      </c>
      <c r="D161" s="14" t="s">
        <v>40</v>
      </c>
      <c r="E161" s="14" t="s">
        <v>631</v>
      </c>
      <c r="F161" s="14" t="s">
        <v>291</v>
      </c>
      <c r="G161" s="14" t="n">
        <v>1.5</v>
      </c>
      <c r="H161" s="36" t="s">
        <v>330</v>
      </c>
      <c r="I161" s="36" t="s">
        <v>360</v>
      </c>
      <c r="J161" s="14" t="s">
        <v>41</v>
      </c>
    </row>
    <row r="162" customFormat="false" ht="15" hidden="false" customHeight="true" outlineLevel="0" collapsed="false">
      <c r="A162" s="14" t="s">
        <v>632</v>
      </c>
      <c r="B162" s="14" t="s">
        <v>213</v>
      </c>
      <c r="C162" s="14" t="s">
        <v>86</v>
      </c>
      <c r="D162" s="14" t="s">
        <v>40</v>
      </c>
      <c r="E162" s="14" t="s">
        <v>633</v>
      </c>
      <c r="F162" s="14" t="s">
        <v>318</v>
      </c>
      <c r="G162" s="14" t="n">
        <v>3</v>
      </c>
      <c r="H162" s="36" t="s">
        <v>300</v>
      </c>
      <c r="I162" s="36" t="s">
        <v>360</v>
      </c>
      <c r="J162" s="14" t="s">
        <v>41</v>
      </c>
    </row>
    <row r="163" customFormat="false" ht="15" hidden="false" customHeight="true" outlineLevel="0" collapsed="false">
      <c r="A163" s="14" t="s">
        <v>634</v>
      </c>
      <c r="B163" s="14" t="s">
        <v>213</v>
      </c>
      <c r="C163" s="14" t="s">
        <v>86</v>
      </c>
      <c r="D163" s="14" t="s">
        <v>40</v>
      </c>
      <c r="E163" s="14" t="s">
        <v>635</v>
      </c>
      <c r="F163" s="14" t="s">
        <v>329</v>
      </c>
      <c r="G163" s="14" t="n">
        <v>1.5</v>
      </c>
      <c r="H163" s="36" t="s">
        <v>292</v>
      </c>
      <c r="I163" s="36" t="s">
        <v>360</v>
      </c>
      <c r="J163" s="14" t="s">
        <v>41</v>
      </c>
    </row>
    <row r="164" customFormat="false" ht="15" hidden="false" customHeight="true" outlineLevel="0" collapsed="false">
      <c r="A164" s="14" t="s">
        <v>636</v>
      </c>
      <c r="B164" s="14" t="s">
        <v>213</v>
      </c>
      <c r="C164" s="14" t="s">
        <v>86</v>
      </c>
      <c r="D164" s="14" t="s">
        <v>40</v>
      </c>
      <c r="E164" s="14" t="s">
        <v>637</v>
      </c>
      <c r="F164" s="14" t="s">
        <v>270</v>
      </c>
      <c r="G164" s="14" t="n">
        <v>2</v>
      </c>
      <c r="H164" s="36" t="s">
        <v>323</v>
      </c>
      <c r="I164" s="36" t="s">
        <v>360</v>
      </c>
      <c r="J164" s="14" t="s">
        <v>41</v>
      </c>
    </row>
    <row r="165" customFormat="false" ht="15" hidden="false" customHeight="true" outlineLevel="0" collapsed="false">
      <c r="A165" s="14" t="s">
        <v>638</v>
      </c>
      <c r="B165" s="14" t="s">
        <v>213</v>
      </c>
      <c r="C165" s="14" t="s">
        <v>86</v>
      </c>
      <c r="D165" s="14" t="s">
        <v>40</v>
      </c>
      <c r="E165" s="14" t="s">
        <v>639</v>
      </c>
      <c r="F165" s="14" t="s">
        <v>395</v>
      </c>
      <c r="G165" s="14" t="n">
        <v>1</v>
      </c>
      <c r="H165" s="36" t="s">
        <v>330</v>
      </c>
      <c r="I165" s="36" t="s">
        <v>360</v>
      </c>
      <c r="J165" s="14" t="s">
        <v>41</v>
      </c>
    </row>
    <row r="166" customFormat="false" ht="15" hidden="false" customHeight="true" outlineLevel="0" collapsed="false">
      <c r="A166" s="14" t="s">
        <v>640</v>
      </c>
      <c r="B166" s="14" t="s">
        <v>213</v>
      </c>
      <c r="C166" s="14" t="s">
        <v>86</v>
      </c>
      <c r="D166" s="14" t="s">
        <v>40</v>
      </c>
      <c r="E166" s="14" t="s">
        <v>641</v>
      </c>
      <c r="F166" s="14" t="s">
        <v>329</v>
      </c>
      <c r="G166" s="14" t="n">
        <v>2</v>
      </c>
      <c r="H166" s="36" t="s">
        <v>330</v>
      </c>
      <c r="I166" s="36" t="s">
        <v>360</v>
      </c>
      <c r="J166" s="14" t="s">
        <v>41</v>
      </c>
    </row>
    <row r="167" customFormat="false" ht="15" hidden="false" customHeight="true" outlineLevel="0" collapsed="false">
      <c r="A167" s="14" t="s">
        <v>642</v>
      </c>
      <c r="B167" s="14" t="s">
        <v>235</v>
      </c>
      <c r="C167" s="14" t="s">
        <v>78</v>
      </c>
      <c r="D167" s="14" t="s">
        <v>40</v>
      </c>
      <c r="E167" s="14" t="s">
        <v>643</v>
      </c>
      <c r="F167" s="14" t="s">
        <v>261</v>
      </c>
      <c r="G167" s="14" t="n">
        <v>1.5</v>
      </c>
      <c r="H167" s="36" t="s">
        <v>267</v>
      </c>
      <c r="I167" s="36" t="s">
        <v>360</v>
      </c>
      <c r="J167" s="14" t="s">
        <v>41</v>
      </c>
    </row>
    <row r="168" customFormat="false" ht="15" hidden="false" customHeight="true" outlineLevel="0" collapsed="false">
      <c r="A168" s="14" t="s">
        <v>644</v>
      </c>
      <c r="B168" s="14" t="s">
        <v>239</v>
      </c>
      <c r="C168" s="14" t="s">
        <v>80</v>
      </c>
      <c r="D168" s="14" t="s">
        <v>18</v>
      </c>
      <c r="E168" s="14" t="s">
        <v>645</v>
      </c>
      <c r="F168" s="14" t="s">
        <v>646</v>
      </c>
      <c r="G168" s="14" t="n">
        <v>3</v>
      </c>
      <c r="H168" s="36" t="s">
        <v>300</v>
      </c>
      <c r="I168" s="36" t="s">
        <v>263</v>
      </c>
      <c r="J168" s="14" t="s">
        <v>647</v>
      </c>
    </row>
    <row r="169" customFormat="false" ht="15" hidden="false" customHeight="true" outlineLevel="0" collapsed="false">
      <c r="A169" s="14" t="s">
        <v>648</v>
      </c>
      <c r="B169" s="14" t="s">
        <v>239</v>
      </c>
      <c r="C169" s="14" t="s">
        <v>80</v>
      </c>
      <c r="D169" s="14" t="s">
        <v>18</v>
      </c>
      <c r="E169" s="14" t="s">
        <v>649</v>
      </c>
      <c r="F169" s="14" t="s">
        <v>392</v>
      </c>
      <c r="G169" s="14" t="n">
        <v>2</v>
      </c>
      <c r="H169" s="36" t="s">
        <v>300</v>
      </c>
      <c r="I169" s="36" t="s">
        <v>263</v>
      </c>
      <c r="J169" s="14" t="s">
        <v>647</v>
      </c>
    </row>
    <row r="170" customFormat="false" ht="15" hidden="false" customHeight="true" outlineLevel="0" collapsed="false">
      <c r="A170" s="14" t="s">
        <v>650</v>
      </c>
      <c r="B170" s="14" t="s">
        <v>239</v>
      </c>
      <c r="C170" s="14" t="s">
        <v>80</v>
      </c>
      <c r="D170" s="14" t="s">
        <v>18</v>
      </c>
      <c r="E170" s="14" t="s">
        <v>651</v>
      </c>
      <c r="F170" s="14" t="s">
        <v>646</v>
      </c>
      <c r="G170" s="14" t="n">
        <v>2</v>
      </c>
      <c r="H170" s="36" t="s">
        <v>300</v>
      </c>
      <c r="I170" s="36" t="s">
        <v>263</v>
      </c>
      <c r="J170" s="14" t="s">
        <v>647</v>
      </c>
    </row>
    <row r="171" customFormat="false" ht="15" hidden="false" customHeight="true" outlineLevel="0" collapsed="false">
      <c r="A171" s="14" t="s">
        <v>652</v>
      </c>
      <c r="B171" s="14" t="s">
        <v>239</v>
      </c>
      <c r="C171" s="14" t="s">
        <v>80</v>
      </c>
      <c r="D171" s="14" t="s">
        <v>18</v>
      </c>
      <c r="E171" s="14" t="s">
        <v>653</v>
      </c>
      <c r="F171" s="14" t="s">
        <v>392</v>
      </c>
      <c r="G171" s="14" t="n">
        <v>1</v>
      </c>
      <c r="H171" s="36" t="s">
        <v>300</v>
      </c>
      <c r="I171" s="36" t="s">
        <v>263</v>
      </c>
      <c r="J171" s="14" t="s">
        <v>647</v>
      </c>
    </row>
    <row r="172" customFormat="false" ht="15" hidden="false" customHeight="true" outlineLevel="0" collapsed="false">
      <c r="A172" s="14" t="s">
        <v>654</v>
      </c>
      <c r="B172" s="14" t="s">
        <v>239</v>
      </c>
      <c r="C172" s="14" t="s">
        <v>80</v>
      </c>
      <c r="D172" s="14" t="s">
        <v>18</v>
      </c>
      <c r="E172" s="14" t="s">
        <v>655</v>
      </c>
      <c r="F172" s="14" t="s">
        <v>277</v>
      </c>
      <c r="G172" s="14" t="n">
        <v>3</v>
      </c>
      <c r="H172" s="36" t="s">
        <v>300</v>
      </c>
      <c r="I172" s="36" t="s">
        <v>263</v>
      </c>
      <c r="J172" s="14" t="s">
        <v>647</v>
      </c>
    </row>
    <row r="173" customFormat="false" ht="15" hidden="false" customHeight="true" outlineLevel="0" collapsed="false">
      <c r="A173" s="14" t="s">
        <v>656</v>
      </c>
      <c r="B173" s="14" t="s">
        <v>239</v>
      </c>
      <c r="C173" s="14" t="s">
        <v>80</v>
      </c>
      <c r="D173" s="14" t="s">
        <v>18</v>
      </c>
      <c r="E173" s="14" t="s">
        <v>657</v>
      </c>
      <c r="F173" s="14" t="s">
        <v>277</v>
      </c>
      <c r="G173" s="14" t="n">
        <v>1.5</v>
      </c>
      <c r="H173" s="36" t="s">
        <v>300</v>
      </c>
      <c r="I173" s="36" t="s">
        <v>263</v>
      </c>
      <c r="J173" s="14" t="s">
        <v>647</v>
      </c>
    </row>
    <row r="174" customFormat="false" ht="15" hidden="false" customHeight="true" outlineLevel="0" collapsed="false">
      <c r="A174" s="14" t="s">
        <v>658</v>
      </c>
      <c r="B174" s="14" t="s">
        <v>239</v>
      </c>
      <c r="C174" s="14" t="s">
        <v>80</v>
      </c>
      <c r="D174" s="14" t="s">
        <v>18</v>
      </c>
      <c r="E174" s="14" t="s">
        <v>659</v>
      </c>
      <c r="F174" s="14" t="s">
        <v>277</v>
      </c>
      <c r="G174" s="14" t="n">
        <v>2.5</v>
      </c>
      <c r="H174" s="36" t="s">
        <v>300</v>
      </c>
      <c r="I174" s="36" t="s">
        <v>263</v>
      </c>
      <c r="J174" s="14" t="s">
        <v>647</v>
      </c>
    </row>
    <row r="175" customFormat="false" ht="15" hidden="false" customHeight="true" outlineLevel="0" collapsed="false">
      <c r="A175" s="14" t="s">
        <v>660</v>
      </c>
      <c r="B175" s="14" t="s">
        <v>239</v>
      </c>
      <c r="C175" s="14" t="s">
        <v>80</v>
      </c>
      <c r="D175" s="14" t="s">
        <v>18</v>
      </c>
      <c r="E175" s="14" t="s">
        <v>661</v>
      </c>
      <c r="F175" s="14" t="s">
        <v>662</v>
      </c>
      <c r="G175" s="14" t="n">
        <v>1</v>
      </c>
      <c r="H175" s="36" t="s">
        <v>663</v>
      </c>
      <c r="I175" s="36" t="s">
        <v>360</v>
      </c>
      <c r="J175" s="14" t="s">
        <v>19</v>
      </c>
    </row>
    <row r="176" customFormat="false" ht="15" hidden="false" customHeight="true" outlineLevel="0" collapsed="false">
      <c r="A176" s="14" t="s">
        <v>664</v>
      </c>
      <c r="B176" s="14" t="s">
        <v>242</v>
      </c>
      <c r="C176" s="14" t="s">
        <v>83</v>
      </c>
      <c r="D176" s="14" t="s">
        <v>31</v>
      </c>
      <c r="E176" s="14" t="s">
        <v>665</v>
      </c>
      <c r="F176" s="14" t="s">
        <v>646</v>
      </c>
      <c r="G176" s="14" t="n">
        <v>1.5</v>
      </c>
      <c r="H176" s="36" t="s">
        <v>663</v>
      </c>
      <c r="I176" s="36" t="s">
        <v>360</v>
      </c>
      <c r="J176" s="14" t="s">
        <v>32</v>
      </c>
    </row>
    <row r="177" customFormat="false" ht="15" hidden="false" customHeight="true" outlineLevel="0" collapsed="false">
      <c r="A177" s="14" t="s">
        <v>666</v>
      </c>
      <c r="B177" s="14" t="s">
        <v>242</v>
      </c>
      <c r="C177" s="14" t="s">
        <v>83</v>
      </c>
      <c r="D177" s="14" t="s">
        <v>31</v>
      </c>
      <c r="E177" s="14" t="s">
        <v>667</v>
      </c>
      <c r="F177" s="14" t="s">
        <v>277</v>
      </c>
      <c r="G177" s="14" t="n">
        <v>2</v>
      </c>
      <c r="H177" s="36" t="s">
        <v>663</v>
      </c>
      <c r="I177" s="36" t="s">
        <v>360</v>
      </c>
      <c r="J177" s="14" t="s">
        <v>32</v>
      </c>
    </row>
    <row r="178" customFormat="false" ht="15" hidden="false" customHeight="true" outlineLevel="0" collapsed="false">
      <c r="A178" s="14" t="s">
        <v>668</v>
      </c>
      <c r="B178" s="14" t="s">
        <v>242</v>
      </c>
      <c r="C178" s="14" t="s">
        <v>83</v>
      </c>
      <c r="D178" s="14" t="s">
        <v>31</v>
      </c>
      <c r="E178" s="14" t="s">
        <v>669</v>
      </c>
      <c r="F178" s="14" t="s">
        <v>277</v>
      </c>
      <c r="G178" s="14" t="n">
        <v>2</v>
      </c>
      <c r="H178" s="36" t="s">
        <v>663</v>
      </c>
      <c r="I178" s="36" t="s">
        <v>360</v>
      </c>
      <c r="J178" s="14" t="s">
        <v>32</v>
      </c>
    </row>
    <row r="179" customFormat="false" ht="15" hidden="false" customHeight="true" outlineLevel="0" collapsed="false">
      <c r="A179" s="14" t="s">
        <v>670</v>
      </c>
      <c r="B179" s="14" t="s">
        <v>242</v>
      </c>
      <c r="C179" s="14" t="s">
        <v>83</v>
      </c>
      <c r="D179" s="14" t="s">
        <v>31</v>
      </c>
      <c r="E179" s="14" t="s">
        <v>671</v>
      </c>
      <c r="F179" s="14" t="s">
        <v>277</v>
      </c>
      <c r="G179" s="14" t="n">
        <v>1.5</v>
      </c>
      <c r="H179" s="36" t="s">
        <v>663</v>
      </c>
      <c r="I179" s="36" t="s">
        <v>360</v>
      </c>
      <c r="J179" s="14" t="s">
        <v>32</v>
      </c>
    </row>
    <row r="180" customFormat="false" ht="15" hidden="false" customHeight="true" outlineLevel="0" collapsed="false">
      <c r="A180" s="14" t="s">
        <v>672</v>
      </c>
      <c r="B180" s="14" t="s">
        <v>242</v>
      </c>
      <c r="C180" s="14" t="s">
        <v>83</v>
      </c>
      <c r="D180" s="14" t="s">
        <v>31</v>
      </c>
      <c r="E180" s="14" t="s">
        <v>673</v>
      </c>
      <c r="F180" s="14" t="s">
        <v>329</v>
      </c>
      <c r="G180" s="14" t="n">
        <v>1</v>
      </c>
      <c r="H180" s="36" t="s">
        <v>663</v>
      </c>
      <c r="I180" s="36" t="s">
        <v>360</v>
      </c>
      <c r="J180" s="14" t="s">
        <v>32</v>
      </c>
    </row>
    <row r="181" customFormat="false" ht="15" hidden="false" customHeight="true" outlineLevel="0" collapsed="false">
      <c r="A181" s="14" t="s">
        <v>674</v>
      </c>
      <c r="B181" s="14" t="s">
        <v>245</v>
      </c>
      <c r="C181" s="14" t="s">
        <v>83</v>
      </c>
      <c r="D181" s="14" t="s">
        <v>31</v>
      </c>
      <c r="E181" s="14" t="s">
        <v>675</v>
      </c>
      <c r="F181" s="14" t="s">
        <v>277</v>
      </c>
      <c r="G181" s="14" t="n">
        <v>1.5</v>
      </c>
      <c r="H181" s="36" t="s">
        <v>663</v>
      </c>
      <c r="I181" s="36" t="s">
        <v>360</v>
      </c>
      <c r="J181" s="14" t="s">
        <v>32</v>
      </c>
    </row>
    <row r="182" customFormat="false" ht="15" hidden="false" customHeight="true" outlineLevel="0" collapsed="false">
      <c r="A182" s="14" t="s">
        <v>676</v>
      </c>
      <c r="B182" s="14" t="s">
        <v>245</v>
      </c>
      <c r="C182" s="14" t="s">
        <v>83</v>
      </c>
      <c r="D182" s="14" t="s">
        <v>31</v>
      </c>
      <c r="E182" s="14" t="s">
        <v>677</v>
      </c>
      <c r="F182" s="14" t="s">
        <v>277</v>
      </c>
      <c r="G182" s="14" t="n">
        <v>2</v>
      </c>
      <c r="H182" s="36" t="s">
        <v>663</v>
      </c>
      <c r="I182" s="36" t="s">
        <v>360</v>
      </c>
      <c r="J182" s="14" t="s">
        <v>32</v>
      </c>
    </row>
    <row r="183" customFormat="false" ht="15" hidden="false" customHeight="true" outlineLevel="0" collapsed="false">
      <c r="A183" s="14" t="s">
        <v>678</v>
      </c>
      <c r="B183" s="14" t="s">
        <v>245</v>
      </c>
      <c r="C183" s="14" t="s">
        <v>83</v>
      </c>
      <c r="D183" s="14" t="s">
        <v>31</v>
      </c>
      <c r="E183" s="14" t="s">
        <v>679</v>
      </c>
      <c r="F183" s="14" t="s">
        <v>329</v>
      </c>
      <c r="G183" s="14" t="n">
        <v>1</v>
      </c>
      <c r="H183" s="36" t="s">
        <v>663</v>
      </c>
      <c r="I183" s="36" t="s">
        <v>360</v>
      </c>
      <c r="J183" s="14" t="s">
        <v>32</v>
      </c>
    </row>
    <row r="184" customFormat="false" ht="15" hidden="false" customHeight="true" outlineLevel="0" collapsed="false">
      <c r="A184" s="14" t="s">
        <v>680</v>
      </c>
      <c r="B184" s="14" t="s">
        <v>248</v>
      </c>
      <c r="C184" s="14" t="s">
        <v>83</v>
      </c>
      <c r="D184" s="14" t="s">
        <v>31</v>
      </c>
      <c r="E184" s="14" t="s">
        <v>681</v>
      </c>
      <c r="F184" s="14" t="s">
        <v>646</v>
      </c>
      <c r="G184" s="14" t="n">
        <v>1.5</v>
      </c>
      <c r="H184" s="36" t="s">
        <v>663</v>
      </c>
      <c r="I184" s="36" t="s">
        <v>360</v>
      </c>
      <c r="J184" s="14" t="s">
        <v>32</v>
      </c>
    </row>
    <row r="185" customFormat="false" ht="15" hidden="false" customHeight="true" outlineLevel="0" collapsed="false">
      <c r="A185" s="14" t="s">
        <v>682</v>
      </c>
      <c r="B185" s="14" t="s">
        <v>248</v>
      </c>
      <c r="C185" s="14" t="s">
        <v>83</v>
      </c>
      <c r="D185" s="14" t="s">
        <v>31</v>
      </c>
      <c r="E185" s="14" t="s">
        <v>683</v>
      </c>
      <c r="F185" s="14" t="s">
        <v>277</v>
      </c>
      <c r="G185" s="14" t="n">
        <v>2</v>
      </c>
      <c r="H185" s="36" t="s">
        <v>663</v>
      </c>
      <c r="I185" s="36" t="s">
        <v>360</v>
      </c>
      <c r="J185" s="14" t="s">
        <v>32</v>
      </c>
    </row>
    <row r="186" customFormat="false" ht="15" hidden="false" customHeight="true" outlineLevel="0" collapsed="false">
      <c r="A186" s="14" t="s">
        <v>684</v>
      </c>
      <c r="B186" s="14" t="s">
        <v>248</v>
      </c>
      <c r="C186" s="14" t="s">
        <v>83</v>
      </c>
      <c r="D186" s="14" t="s">
        <v>31</v>
      </c>
      <c r="E186" s="14" t="s">
        <v>685</v>
      </c>
      <c r="F186" s="14" t="s">
        <v>329</v>
      </c>
      <c r="G186" s="14" t="n">
        <v>1</v>
      </c>
      <c r="H186" s="36" t="s">
        <v>663</v>
      </c>
      <c r="I186" s="36" t="s">
        <v>360</v>
      </c>
      <c r="J186" s="14" t="s">
        <v>32</v>
      </c>
    </row>
    <row r="187" customFormat="false" ht="15" hidden="false" customHeight="false" outlineLevel="0" collapsed="false">
      <c r="F187" s="17" t="s">
        <v>45</v>
      </c>
      <c r="G187" s="17" t="n">
        <f aca="false">SUM(G2:G186)</f>
        <v>315.5</v>
      </c>
    </row>
  </sheetData>
  <autoFilter ref="A1:J186"/>
  <dataValidations count="1">
    <dataValidation allowBlank="true" errorStyle="stop" operator="between" showDropDown="false" showErrorMessage="false" showInputMessage="false" sqref="I2:I186" type="list">
      <formula1>"À faire,En cours,En revue,Terminé,Bloqué,Écartée"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4" min="3" style="0" width="7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4" t="s">
        <v>686</v>
      </c>
      <c r="B1" s="4" t="s">
        <v>54</v>
      </c>
      <c r="C1" s="4" t="s">
        <v>687</v>
      </c>
      <c r="D1" s="4" t="s">
        <v>688</v>
      </c>
      <c r="E1" s="4" t="s">
        <v>689</v>
      </c>
    </row>
    <row r="2" customFormat="false" ht="35.05" hidden="false" customHeight="false" outlineLevel="0" collapsed="false">
      <c r="A2" s="5" t="s">
        <v>647</v>
      </c>
      <c r="B2" s="5" t="s">
        <v>690</v>
      </c>
      <c r="C2" s="5" t="s">
        <v>691</v>
      </c>
      <c r="D2" s="5" t="s">
        <v>692</v>
      </c>
      <c r="E2" s="5" t="s">
        <v>693</v>
      </c>
    </row>
    <row r="3" customFormat="false" ht="23.85" hidden="false" customHeight="false" outlineLevel="0" collapsed="false">
      <c r="A3" s="5" t="s">
        <v>647</v>
      </c>
      <c r="B3" s="5" t="s">
        <v>694</v>
      </c>
      <c r="C3" s="5" t="s">
        <v>695</v>
      </c>
      <c r="D3" s="5" t="s">
        <v>696</v>
      </c>
      <c r="E3" s="5" t="s">
        <v>697</v>
      </c>
    </row>
    <row r="4" customFormat="false" ht="23.85" hidden="false" customHeight="false" outlineLevel="0" collapsed="false">
      <c r="A4" s="5" t="s">
        <v>647</v>
      </c>
      <c r="B4" s="5" t="s">
        <v>698</v>
      </c>
      <c r="C4" s="5" t="s">
        <v>699</v>
      </c>
      <c r="D4" s="5" t="s">
        <v>700</v>
      </c>
      <c r="E4" s="5" t="s">
        <v>697</v>
      </c>
    </row>
    <row r="5" customFormat="false" ht="15" hidden="false" customHeight="false" outlineLevel="0" collapsed="false">
      <c r="A5" s="5" t="s">
        <v>647</v>
      </c>
      <c r="B5" s="5" t="s">
        <v>701</v>
      </c>
      <c r="C5" s="5" t="s">
        <v>702</v>
      </c>
      <c r="D5" s="5" t="s">
        <v>703</v>
      </c>
      <c r="E5" s="5" t="s">
        <v>697</v>
      </c>
    </row>
    <row r="6" customFormat="false" ht="15" hidden="false" customHeight="false" outlineLevel="0" collapsed="false">
      <c r="A6" s="5" t="s">
        <v>647</v>
      </c>
      <c r="B6" s="5" t="s">
        <v>704</v>
      </c>
      <c r="C6" s="5" t="s">
        <v>705</v>
      </c>
      <c r="D6" s="5" t="s">
        <v>706</v>
      </c>
      <c r="E6" s="5" t="s">
        <v>697</v>
      </c>
    </row>
    <row r="7" customFormat="false" ht="23.85" hidden="false" customHeight="false" outlineLevel="0" collapsed="false">
      <c r="A7" s="5" t="s">
        <v>647</v>
      </c>
      <c r="B7" s="5" t="s">
        <v>216</v>
      </c>
      <c r="C7" s="5" t="s">
        <v>707</v>
      </c>
      <c r="D7" s="5" t="s">
        <v>708</v>
      </c>
      <c r="E7" s="5" t="s">
        <v>709</v>
      </c>
    </row>
    <row r="8" customFormat="false" ht="15" hidden="false" customHeight="false" outlineLevel="0" collapsed="false">
      <c r="A8" s="5" t="s">
        <v>647</v>
      </c>
      <c r="B8" s="5" t="s">
        <v>223</v>
      </c>
      <c r="C8" s="5" t="s">
        <v>710</v>
      </c>
      <c r="D8" s="5" t="s">
        <v>711</v>
      </c>
      <c r="E8" s="5" t="s">
        <v>709</v>
      </c>
    </row>
    <row r="9" customFormat="false" ht="15" hidden="false" customHeight="false" outlineLevel="0" collapsed="false">
      <c r="A9" s="5" t="s">
        <v>647</v>
      </c>
      <c r="B9" s="5" t="s">
        <v>229</v>
      </c>
      <c r="C9" s="5" t="s">
        <v>712</v>
      </c>
      <c r="D9" s="5" t="s">
        <v>713</v>
      </c>
      <c r="E9" s="5" t="s">
        <v>709</v>
      </c>
    </row>
    <row r="10" customFormat="false" ht="15" hidden="false" customHeight="false" outlineLevel="0" collapsed="false">
      <c r="A10" s="5" t="s">
        <v>647</v>
      </c>
      <c r="B10" s="5" t="s">
        <v>162</v>
      </c>
      <c r="C10" s="5" t="s">
        <v>714</v>
      </c>
      <c r="D10" s="5" t="s">
        <v>715</v>
      </c>
      <c r="E10" s="5" t="s">
        <v>709</v>
      </c>
    </row>
    <row r="11" customFormat="false" ht="23.85" hidden="false" customHeight="false" outlineLevel="0" collapsed="false">
      <c r="A11" s="5" t="s">
        <v>647</v>
      </c>
      <c r="B11" s="5" t="s">
        <v>716</v>
      </c>
      <c r="C11" s="5" t="s">
        <v>717</v>
      </c>
      <c r="D11" s="5" t="s">
        <v>718</v>
      </c>
      <c r="E11" s="5" t="s">
        <v>693</v>
      </c>
    </row>
    <row r="13" customFormat="false" ht="15" hidden="false" customHeight="false" outlineLevel="0" collapsed="false">
      <c r="A13" s="1" t="s">
        <v>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2026-09-28T05:24:06Z</dcterms:created>
  <dc:creator>Yacine LEZOUL</dc:creator>
  <dc:description/>
  <dc:language>en-US</dc:language>
  <cp:lastModifiedBy>Yacine LEZOUL</cp:lastModifiedBy>
  <dcterms:modified xsi:type="dcterms:W3CDTF">2026-10-06T19:24:48Z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